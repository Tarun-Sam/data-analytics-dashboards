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Tarun Sam\Downloads\"/>
    </mc:Choice>
  </mc:AlternateContent>
  <xr:revisionPtr revIDLastSave="0" documentId="13_ncr:1_{A693E15F-BF2E-4841-8B0D-D6AC824C6701}" xr6:coauthVersionLast="47" xr6:coauthVersionMax="47" xr10:uidLastSave="{00000000-0000-0000-0000-000000000000}"/>
  <bookViews>
    <workbookView xWindow="-110" yWindow="-110" windowWidth="19420" windowHeight="11500" firstSheet="1" activeTab="1" xr2:uid="{066EEF34-3AB4-4F9D-AE68-8D424FE4DE5B}"/>
  </bookViews>
  <sheets>
    <sheet name="Dashboard" sheetId="3" r:id="rId1"/>
    <sheet name="Dataset" sheetId="2" r:id="rId2"/>
    <sheet name="Formulas" sheetId="6" r:id="rId3"/>
    <sheet name="Sort and Filters" sheetId="7" r:id="rId4"/>
    <sheet name="Conditional Formating" sheetId="18" r:id="rId5"/>
    <sheet name="QnA" sheetId="29" r:id="rId6"/>
  </sheets>
  <definedNames>
    <definedName name="_xlnm._FilterDatabase" localSheetId="3" hidden="1">'Sort and Filters'!$A$2:$L$28</definedName>
    <definedName name="Slicer_Age_Group">#N/A</definedName>
    <definedName name="Slicer_Position">#N/A</definedName>
  </definedNames>
  <calcPr calcId="191029"/>
  <extLst>
    <ext xmlns:x14="http://schemas.microsoft.com/office/spreadsheetml/2009/9/main" uri="{876F7934-8845-4945-9796-88D515C7AA90}">
      <x14:pivotCaches>
        <pivotCache cacheId="0" r:id="rId7"/>
      </x14:pivotCaches>
    </ex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7" i="2" l="1"/>
  <c r="N8" i="2"/>
  <c r="N9" i="2"/>
  <c r="N10" i="2"/>
  <c r="N11" i="2"/>
  <c r="N12" i="2"/>
  <c r="N13" i="2"/>
  <c r="N14" i="2"/>
  <c r="N15" i="2"/>
  <c r="N16" i="2"/>
  <c r="N17" i="2"/>
  <c r="N18" i="2"/>
  <c r="N19" i="2"/>
  <c r="N20" i="2"/>
  <c r="N21" i="2"/>
  <c r="N22" i="2"/>
  <c r="N23" i="2"/>
  <c r="N24" i="2"/>
  <c r="N25" i="2"/>
  <c r="N26" i="2"/>
  <c r="N27" i="2"/>
  <c r="N28" i="2"/>
  <c r="N29" i="2"/>
  <c r="N30" i="2"/>
  <c r="N31" i="2"/>
  <c r="N32" i="2"/>
  <c r="F2" i="6" a="1"/>
  <c r="F2" i="6" s="1"/>
  <c r="E2" i="6" a="1"/>
  <c r="E2" i="6" s="1"/>
  <c r="D2" i="6"/>
  <c r="C2" i="6"/>
  <c r="B2" i="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<sst xmlns="http://schemas.openxmlformats.org/spreadsheetml/2006/main" count="322" uniqueCount="85">
  <si>
    <t>Excel Sample Data</t>
  </si>
  <si>
    <t>2022 FIFA World Cup Performance Data - Argentina</t>
  </si>
  <si>
    <t xml:space="preserve">Player Name </t>
  </si>
  <si>
    <t>Position</t>
  </si>
  <si>
    <t>Jersey Number</t>
  </si>
  <si>
    <t>Player DOB</t>
  </si>
  <si>
    <t xml:space="preserve">Club </t>
  </si>
  <si>
    <t xml:space="preserve"> Appearances</t>
  </si>
  <si>
    <t xml:space="preserve">Goals Scored </t>
  </si>
  <si>
    <t xml:space="preserve">Assists Provided </t>
  </si>
  <si>
    <t>Dribbles per 90 Min</t>
  </si>
  <si>
    <t>Interceptions per 90 Min</t>
  </si>
  <si>
    <t>Tackles per 90 Min</t>
  </si>
  <si>
    <t>Total Duels Won per 90 Min</t>
  </si>
  <si>
    <t>Nicolas Otamendi</t>
  </si>
  <si>
    <t>DF</t>
  </si>
  <si>
    <t>Benfica</t>
  </si>
  <si>
    <t>Marcos Acuna</t>
  </si>
  <si>
    <t>Sevilla</t>
  </si>
  <si>
    <t>Nicolas Tagliafico</t>
  </si>
  <si>
    <t>Lyon</t>
  </si>
  <si>
    <t>German Pezzella</t>
  </si>
  <si>
    <t>Real Betis</t>
  </si>
  <si>
    <t>Nahuel Molina</t>
  </si>
  <si>
    <t>Atletico Madrid</t>
  </si>
  <si>
    <t>Gonzalo Montiel</t>
  </si>
  <si>
    <t>Juan Foyth</t>
  </si>
  <si>
    <t>Villarreal</t>
  </si>
  <si>
    <t>Cristian Romero</t>
  </si>
  <si>
    <t>Tottenham</t>
  </si>
  <si>
    <t>Lisandro Martinez</t>
  </si>
  <si>
    <t>Manchester United</t>
  </si>
  <si>
    <t>Leandro Paredes</t>
  </si>
  <si>
    <t>MF</t>
  </si>
  <si>
    <t>Juventus</t>
  </si>
  <si>
    <t>Rodrigo De Paul</t>
  </si>
  <si>
    <t>Guido Rodriguez</t>
  </si>
  <si>
    <t>Exequiel Palacios</t>
  </si>
  <si>
    <t>Bayer Leverkusen</t>
  </si>
  <si>
    <t>Alexis Mac Allister</t>
  </si>
  <si>
    <t>Brighton</t>
  </si>
  <si>
    <t>Enzo Fernandez</t>
  </si>
  <si>
    <t>Alejandro Gomez</t>
  </si>
  <si>
    <t>Atlanta United</t>
  </si>
  <si>
    <t>Lionel Messi</t>
  </si>
  <si>
    <t>FW</t>
  </si>
  <si>
    <t>PSG</t>
  </si>
  <si>
    <t>Lautaro Martinez</t>
  </si>
  <si>
    <t>Inter</t>
  </si>
  <si>
    <t>Paulo Dybala</t>
  </si>
  <si>
    <t>Roma</t>
  </si>
  <si>
    <t>Thiago Almada</t>
  </si>
  <si>
    <t>Julian Alvarez</t>
  </si>
  <si>
    <t>Manchester City</t>
  </si>
  <si>
    <t>Angel Di Maria</t>
  </si>
  <si>
    <t>Angel Correa</t>
  </si>
  <si>
    <t>Emiliano Martinez</t>
  </si>
  <si>
    <t>GK</t>
  </si>
  <si>
    <t>Aston Villa</t>
  </si>
  <si>
    <t>Franco Armani</t>
  </si>
  <si>
    <t>River</t>
  </si>
  <si>
    <t>Geronimo Rulli</t>
  </si>
  <si>
    <t>Sum of Goals Scored</t>
  </si>
  <si>
    <t>Count Apperances of Players</t>
  </si>
  <si>
    <t>If(Interceptions)</t>
  </si>
  <si>
    <t>Median of 'MF' tackles per 90 min</t>
  </si>
  <si>
    <t>Sorted Apperances from Largest to Smallest</t>
  </si>
  <si>
    <t>Average Interceptions per  90 mins</t>
  </si>
  <si>
    <t xml:space="preserve">                                                                                                                                 Argentina World Cup 2022 Player Dashboard</t>
  </si>
  <si>
    <t>Age Group</t>
  </si>
  <si>
    <t>Question 1: Which player scored the most goals during the World Cup?</t>
  </si>
  <si>
    <t>Analysis: I reviewed the “Goals” bar chart on the dashboard, which ranks players by total goals scored.</t>
  </si>
  <si>
    <t>Solution: Lionel Messi was the top scorer with 7 goals, making him the most impactful offensive player for Argentina during the tournament.</t>
  </si>
  <si>
    <t>Question 2: Which position contributed the most assists?</t>
  </si>
  <si>
    <t>Analysis: I analysed the “Assists by Position” pie chart, which breaks down total assists by player roles (e.g., Forward, Midfielder, Defender).</t>
  </si>
  <si>
    <t>Solution: The Midfielders contributed the highest number of assists, accounting for the largest portion in the assist’s distribution.</t>
  </si>
  <si>
    <t>Question 3: Which age group had the highest total appearances?</t>
  </si>
  <si>
    <t>Analysis: I examined the “Appearances by Age Group” pie chart, which categorizes total player appearances into three age brackets: &lt;25, 25–30, and &gt;30.</t>
  </si>
  <si>
    <t>Solution: The 25–30 age group had the highest number of appearances, indicating that players in their prime contributed the most consistently.</t>
  </si>
  <si>
    <t>Question 4: Who had the highest number of interceptions per 90 minutes?</t>
  </si>
  <si>
    <t>Analysis: I referred to the “Interceptions per 90 mins” line chart, which visualizes each player's defensive contribution based on this metric.</t>
  </si>
  <si>
    <t>Solution: Cristian Romero had the highest interceptions per 90 minutes, showcasing his key role in Argentina’s defense.</t>
  </si>
  <si>
    <t>Question 5: Which player had the highest combined goal + assist total?</t>
  </si>
  <si>
    <t>Analysis: I calculated the sum of goals and assists for each player by combining data from the respective bar charts.</t>
  </si>
  <si>
    <t>Solution: Lionel Messi had the highest combined total with 10 goal contributions (7 goals + 3 assists), underlining his all-around offensive impact.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</si>
</sst>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b/>
      <sz val="14"/>
      <color rgb="FF272760"/>
      <name val="Calibri"/>
      <family val="2"/>
    </font>
    <font>
      <sz val="11"/>
      <color theme="1"/>
      <name val="Calibri"/>
      <family val="2"/>
    </font>
    <font>
      <b/>
      <sz val="12"/>
      <color rgb="FFFFFFFF"/>
      <name val="Calibri"/>
      <family val="2"/>
    </font>
    <font>
      <sz val="11"/>
      <color rgb="FF000000"/>
      <name val="Calibri"/>
      <family val="2"/>
    </font>
    <font>
      <b/>
      <sz val="11"/>
      <color theme="1"/>
      <name val="Aptos Narrow"/>
      <family val="2"/>
      <scheme val="minor"/>
    </font>
    <font>
      <b/>
      <sz val="14"/>
      <color theme="1"/>
      <name val="Aptos Narrow"/>
      <family val="2"/>
      <scheme val="minor"/>
    </font>
    <font>
      <b/>
      <sz val="20"/>
      <color theme="1"/>
      <name val="Aptos Narrow"/>
      <family val="2"/>
      <scheme val="minor"/>
    </font>
    <font>
      <sz val="20"/>
      <color theme="1"/>
      <name val="Aptos Narrow"/>
      <family val="2"/>
      <scheme val="minor"/>
    </font>
    <font>
      <sz val="14"/>
      <color theme="1"/>
      <name val="Times New Roman"/>
      <family val="1"/>
    </font>
  </fonts>
  <fills count="6">
    <fill>
      <patternFill patternType="none"/>
    </fill>
    <fill>
      <patternFill patternType="gray125"/>
    </fill>
    <fill>
      <patternFill patternType="solid">
        <fgColor rgb="FFD9E1F2"/>
        <bgColor indexed="64"/>
      </patternFill>
    </fill>
    <fill>
      <patternFill patternType="solid">
        <fgColor rgb="FF272760"/>
        <bgColor indexed="64"/>
      </patternFill>
    </fill>
    <fill>
      <patternFill patternType="solid">
        <fgColor theme="3" tint="0.749992370372631"/>
        <bgColor indexed="64"/>
      </patternFill>
    </fill>
    <fill>
      <patternFill patternType="solid">
        <fgColor theme="4" tint="0.39997558519241921"/>
        <bgColor indexed="64"/>
      </patternFill>
    </fill>
  </fills>
  <borders count="12">
    <border>
      <left/>
      <right/>
      <top/>
      <bottom/>
      <diagonal/>
    </border>
    <border>
      <left/>
      <right/>
      <top/>
      <bottom style="medium">
        <color rgb="FF272760"/>
      </bottom>
      <diagonal/>
    </border>
    <border>
      <left style="thin">
        <color rgb="FFD9D9D9"/>
      </left>
      <right style="thin">
        <color rgb="FFD9D9D9"/>
      </right>
      <top style="thin">
        <color rgb="FFD9D9D9"/>
      </top>
      <bottom style="thin">
        <color rgb="FFD9D9D9"/>
      </bottom>
      <diagonal/>
    </border>
    <border>
      <left/>
      <right/>
      <top/>
      <bottom style="thin">
        <color rgb="FFD9D9D9"/>
      </bottom>
      <diagonal/>
    </border>
    <border>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
      <left/>
      <right style="thin">
        <color rgb="FFD9D9D9"/>
      </right>
      <top/>
      <bottom style="thin">
        <color rgb="FFD9D9D9"/>
      </bottom>
      <diagonal/>
    </border>
    <border>
      <left style="thin">
        <color rgb="FFD9D9D9"/>
      </left>
      <right style="thin">
        <color rgb="FFD9D9D9"/>
      </right>
      <top/>
      <bottom style="thin">
        <color rgb="FFD9D9D9"/>
      </bottom>
      <diagonal/>
    </border>
    <border>
      <left style="thin">
        <color rgb="FFD9D9D9"/>
      </left>
      <right/>
      <top/>
      <bottom style="thin">
        <color rgb="FFD9D9D9"/>
      </bottom>
      <diagonal/>
    </border>
    <border>
      <left/>
      <right style="thin">
        <color rgb="FFD9D9D9"/>
      </right>
      <top style="thin">
        <color rgb="FFD9D9D9"/>
      </top>
      <bottom/>
      <diagonal/>
    </border>
    <border>
      <left style="thin">
        <color rgb="FFD9D9D9"/>
      </left>
      <right style="thin">
        <color rgb="FFD9D9D9"/>
      </right>
      <top style="thin">
        <color rgb="FFD9D9D9"/>
      </top>
      <bottom/>
      <diagonal/>
    </border>
    <border>
      <left style="thin">
        <color rgb="FFD9D9D9"/>
      </left>
      <right/>
      <top style="thin">
        <color rgb="FFD9D9D9"/>
      </top>
      <bottom/>
      <diagonal/>
    </border>
  </borders>
  <cellStyleXfs count="1">
    <xf numFmtId="0" fontId="0" fillId="0" borderId="0"/>
  </cellStyleXfs>
  <cellXfs count="25">
    <xf numFmtId="0" fontId="0" fillId="0" borderId="0" xfId="0"/>
    <xf numFmtId="0" fontId="1" fillId="2" borderId="1" xfId="0" applyFont="1" applyFill="1" applyBorder="1" applyAlignment="1">
      <alignment horizontal="centerContinuous" vertical="center"/>
    </xf>
    <xf numFmtId="0" fontId="2" fillId="0" borderId="0" xfId="0" applyFont="1"/>
    <xf numFmtId="0" fontId="3" fillId="3" borderId="2" xfId="0" applyFont="1" applyFill="1" applyBorder="1" applyAlignment="1">
      <alignment horizontal="center" vertical="center"/>
    </xf>
    <xf numFmtId="0" fontId="3" fillId="3" borderId="2" xfId="0" applyFont="1" applyFill="1" applyBorder="1" applyAlignment="1">
      <alignment horizontal="center" vertical="center" wrapText="1"/>
    </xf>
    <xf numFmtId="0" fontId="4" fillId="0" borderId="2" xfId="0" applyFont="1" applyBorder="1" applyAlignment="1">
      <alignment vertical="center"/>
    </xf>
    <xf numFmtId="14" fontId="4" fillId="0" borderId="2" xfId="0" applyNumberFormat="1" applyFont="1" applyBorder="1" applyAlignment="1">
      <alignment vertical="center"/>
    </xf>
    <xf numFmtId="2" fontId="0" fillId="0" borderId="0" xfId="0" applyNumberFormat="1"/>
    <xf numFmtId="0" fontId="5" fillId="4" borderId="0" xfId="0" applyFont="1" applyFill="1"/>
    <xf numFmtId="0" fontId="0" fillId="0" borderId="0" xfId="0" applyAlignment="1">
      <alignment horizontal="left"/>
    </xf>
    <xf numFmtId="0" fontId="4" fillId="0" borderId="4" xfId="0" applyFont="1" applyBorder="1" applyAlignment="1">
      <alignment vertical="center"/>
    </xf>
    <xf numFmtId="0" fontId="4" fillId="0" borderId="5" xfId="0" applyFont="1" applyBorder="1" applyAlignment="1">
      <alignment vertical="center"/>
    </xf>
    <xf numFmtId="0" fontId="3" fillId="3" borderId="6" xfId="0" applyFont="1" applyFill="1" applyBorder="1" applyAlignment="1">
      <alignment horizontal="center" vertical="center"/>
    </xf>
    <xf numFmtId="0" fontId="3" fillId="3" borderId="7" xfId="0" applyFont="1" applyFill="1" applyBorder="1" applyAlignment="1">
      <alignment horizontal="center" vertical="center"/>
    </xf>
    <xf numFmtId="0" fontId="3" fillId="3" borderId="7" xfId="0" applyFont="1" applyFill="1" applyBorder="1" applyAlignment="1">
      <alignment horizontal="center" vertical="center" wrapText="1"/>
    </xf>
    <xf numFmtId="0" fontId="3" fillId="3" borderId="8" xfId="0" applyFont="1" applyFill="1" applyBorder="1" applyAlignment="1">
      <alignment horizontal="center" vertical="center" wrapText="1"/>
    </xf>
    <xf numFmtId="0" fontId="4" fillId="0" borderId="9" xfId="0" applyFont="1" applyBorder="1" applyAlignment="1">
      <alignment vertical="center"/>
    </xf>
    <xf numFmtId="0" fontId="4" fillId="0" borderId="10" xfId="0" applyFont="1" applyBorder="1" applyAlignment="1">
      <alignment vertical="center"/>
    </xf>
    <xf numFmtId="14" fontId="4" fillId="0" borderId="10" xfId="0" applyNumberFormat="1" applyFont="1" applyBorder="1" applyAlignment="1">
      <alignment vertical="center"/>
    </xf>
    <xf numFmtId="0" fontId="4" fillId="0" borderId="11" xfId="0" applyFont="1" applyBorder="1" applyAlignment="1">
      <alignment vertical="center"/>
    </xf>
    <xf numFmtId="0" fontId="4" fillId="0" borderId="7" xfId="0" applyFont="1" applyBorder="1" applyAlignment="1">
      <alignment vertical="center"/>
    </xf>
    <xf numFmtId="0" fontId="9" fillId="0" borderId="0" xfId="0" applyFont="1" applyAlignment="1">
      <alignment vertical="center"/>
    </xf>
    <xf numFmtId="0" fontId="6" fillId="0" borderId="3" xfId="0" applyFont="1" applyBorder="1" applyAlignment="1">
      <alignment horizontal="center" vertical="center"/>
    </xf>
    <xf numFmtId="0" fontId="7" fillId="5" borderId="0" xfId="0" applyFont="1" applyFill="1" applyAlignment="1">
      <alignment horizontal="left" vertical="center"/>
    </xf>
    <xf numFmtId="0" fontId="8" fillId="5" borderId="0" xfId="0" applyFont="1" applyFill="1" applyAlignment="1">
      <alignment horizontal="left" vertical="center"/>
    </xf>
  </cellXfs>
  <cellStyles count="1">
    <cellStyle name="Normal" xfId="0" builtinId="0"/>
  </cellStyles>
  <dxfs count="20">
    <dxf>
      <font>
        <color rgb="FF9C0006"/>
      </font>
      <fill>
        <patternFill>
          <bgColor rgb="FFFFC7CE"/>
        </patternFill>
      </fill>
    </dxf>
    <dxf>
      <font>
        <color rgb="FF006100"/>
      </font>
      <fill>
        <patternFill>
          <bgColor rgb="FFC6EFCE"/>
        </patternFill>
      </fill>
    </dxf>
    <dxf>
      <font>
        <b val="0"/>
        <i val="0"/>
        <strike val="0"/>
        <condense val="0"/>
        <extend val="0"/>
        <outline val="0"/>
        <shadow val="0"/>
        <u val="none"/>
        <vertAlign val="baseline"/>
        <sz val="11"/>
        <color rgb="FF000000"/>
        <name val="Calibri"/>
        <family val="2"/>
        <scheme val="none"/>
      </font>
      <numFmt numFmtId="0" formatCode="General"/>
      <alignment horizontal="general" vertical="center" textRotation="0" wrapText="0"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1"/>
        <color rgb="FF000000"/>
        <name val="Calibri"/>
        <family val="2"/>
        <scheme val="none"/>
      </font>
      <alignment horizontal="general" vertical="center" textRotation="0" wrapText="0" indent="0" justifyLastLine="0" shrinkToFit="0" readingOrder="0"/>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1"/>
        <color rgb="FF000000"/>
        <name val="Calibri"/>
        <family val="2"/>
        <scheme val="none"/>
      </font>
      <alignment horizontal="general" vertical="center" textRotation="0" wrapText="0"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1"/>
        <color rgb="FF000000"/>
        <name val="Calibri"/>
        <family val="2"/>
        <scheme val="none"/>
      </font>
      <alignment horizontal="general" vertical="center" textRotation="0" wrapText="0"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1"/>
        <color rgb="FF000000"/>
        <name val="Calibri"/>
        <family val="2"/>
        <scheme val="none"/>
      </font>
      <alignment horizontal="general" vertical="center" textRotation="0" wrapText="0"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1"/>
        <color rgb="FF000000"/>
        <name val="Calibri"/>
        <family val="2"/>
        <scheme val="none"/>
      </font>
      <alignment horizontal="general" vertical="center" textRotation="0" wrapText="0"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1"/>
        <color rgb="FF000000"/>
        <name val="Calibri"/>
        <family val="2"/>
        <scheme val="none"/>
      </font>
      <alignment horizontal="general" vertical="center" textRotation="0" wrapText="0"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1"/>
        <color rgb="FF000000"/>
        <name val="Calibri"/>
        <family val="2"/>
        <scheme val="none"/>
      </font>
      <alignment horizontal="general" vertical="center" textRotation="0" wrapText="0"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1"/>
        <color rgb="FF000000"/>
        <name val="Calibri"/>
        <family val="2"/>
        <scheme val="none"/>
      </font>
      <alignment horizontal="general" vertical="center" textRotation="0" wrapText="0"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1"/>
        <color rgb="FF000000"/>
        <name val="Calibri"/>
        <family val="2"/>
        <scheme val="none"/>
      </font>
      <numFmt numFmtId="19" formatCode="dd/mm/yyyy"/>
      <alignment horizontal="general" vertical="center" textRotation="0" wrapText="0"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1"/>
        <color rgb="FF000000"/>
        <name val="Calibri"/>
        <family val="2"/>
        <scheme val="none"/>
      </font>
      <alignment horizontal="general" vertical="center" textRotation="0" wrapText="0"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1"/>
        <color rgb="FF000000"/>
        <name val="Calibri"/>
        <family val="2"/>
        <scheme val="none"/>
      </font>
      <alignment horizontal="general" vertical="center" textRotation="0" wrapText="0"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1"/>
        <color rgb="FF000000"/>
        <name val="Calibri"/>
        <family val="2"/>
        <scheme val="none"/>
      </font>
      <alignment horizontal="general" vertical="center" textRotation="0" wrapText="0" indent="0" justifyLastLine="0" shrinkToFit="0" readingOrder="0"/>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1"/>
        <color rgb="FF000000"/>
        <name val="Calibri"/>
        <family val="2"/>
        <scheme val="none"/>
      </font>
      <alignment horizontal="general" vertical="center" textRotation="0" wrapText="0" indent="0" justifyLastLine="0" shrinkToFit="0" readingOrder="0"/>
    </dxf>
    <dxf>
      <border outline="0">
        <bottom style="thin">
          <color rgb="FFD9D9D9"/>
        </bottom>
      </border>
    </dxf>
    <dxf>
      <font>
        <b/>
        <i val="0"/>
        <strike val="0"/>
        <condense val="0"/>
        <extend val="0"/>
        <outline val="0"/>
        <shadow val="0"/>
        <u val="none"/>
        <vertAlign val="baseline"/>
        <sz val="12"/>
        <color rgb="FFFFFFFF"/>
        <name val="Calibri"/>
        <family val="2"/>
        <scheme val="none"/>
      </font>
      <fill>
        <patternFill patternType="solid">
          <fgColor indexed="64"/>
          <bgColor rgb="FF272760"/>
        </patternFill>
      </fill>
      <alignment horizontal="center" vertical="center" textRotation="0" wrapText="1" indent="0" justifyLastLine="0" shrinkToFit="0" readingOrder="0"/>
      <border diagonalUp="0" diagonalDown="0" outline="0">
        <left style="thin">
          <color rgb="FFD9D9D9"/>
        </left>
        <right style="thin">
          <color rgb="FFD9D9D9"/>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Goals Scored by Position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3"/>
              <c:pt idx="0">
                <c:v>DF</c:v>
              </c:pt>
              <c:pt idx="1">
                <c:v>FW</c:v>
              </c:pt>
              <c:pt idx="2">
                <c:v>MF</c:v>
              </c:pt>
            </c:strLit>
          </c:cat>
          <c:val>
            <c:numLit>
              <c:formatCode>General</c:formatCode>
              <c:ptCount val="3"/>
              <c:pt idx="0">
                <c:v>1</c:v>
              </c:pt>
              <c:pt idx="1">
                <c:v>12</c:v>
              </c:pt>
              <c:pt idx="2">
                <c:v>2</c:v>
              </c:pt>
            </c:numLit>
          </c:val>
          <c:extLst>
            <c:ext xmlns:c16="http://schemas.microsoft.com/office/drawing/2014/chart" uri="{C3380CC4-5D6E-409C-BE32-E72D297353CC}">
              <c16:uniqueId val="{00000000-CDA3-48EA-8506-44BC5E3F1BD5}"/>
            </c:ext>
          </c:extLst>
        </c:ser>
        <c:dLbls>
          <c:showLegendKey val="0"/>
          <c:showVal val="0"/>
          <c:showCatName val="0"/>
          <c:showSerName val="0"/>
          <c:showPercent val="0"/>
          <c:showBubbleSize val="0"/>
        </c:dLbls>
        <c:gapWidth val="219"/>
        <c:overlap val="-27"/>
        <c:axId val="916465952"/>
        <c:axId val="916472672"/>
      </c:barChart>
      <c:catAx>
        <c:axId val="916465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6472672"/>
        <c:crosses val="autoZero"/>
        <c:auto val="1"/>
        <c:lblAlgn val="ctr"/>
        <c:lblOffset val="100"/>
        <c:noMultiLvlLbl val="0"/>
      </c:catAx>
      <c:valAx>
        <c:axId val="916472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6465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Appearances by Position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4BB-4294-AFDD-CD094F82132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4BB-4294-AFDD-CD094F82132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4BB-4294-AFDD-CD094F82132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4BB-4294-AFDD-CD094F82132C}"/>
              </c:ext>
            </c:extLst>
          </c:dPt>
          <c:cat>
            <c:strLit>
              <c:ptCount val="4"/>
              <c:pt idx="0">
                <c:v>DF</c:v>
              </c:pt>
              <c:pt idx="1">
                <c:v>FW</c:v>
              </c:pt>
              <c:pt idx="2">
                <c:v>GK</c:v>
              </c:pt>
              <c:pt idx="3">
                <c:v>MF</c:v>
              </c:pt>
            </c:strLit>
          </c:cat>
          <c:val>
            <c:numLit>
              <c:formatCode>General</c:formatCode>
              <c:ptCount val="4"/>
              <c:pt idx="0">
                <c:v>46</c:v>
              </c:pt>
              <c:pt idx="1">
                <c:v>29</c:v>
              </c:pt>
              <c:pt idx="2">
                <c:v>7</c:v>
              </c:pt>
              <c:pt idx="3">
                <c:v>31</c:v>
              </c:pt>
            </c:numLit>
          </c:val>
          <c:extLst>
            <c:ext xmlns:c16="http://schemas.microsoft.com/office/drawing/2014/chart" uri="{C3380CC4-5D6E-409C-BE32-E72D297353CC}">
              <c16:uniqueId val="{00000008-04BB-4294-AFDD-CD094F82132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Interceptions per 90 mins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Lit>
              <c:ptCount val="15"/>
              <c:pt idx="0">
                <c:v>Alejandro Gomez</c:v>
              </c:pt>
              <c:pt idx="1">
                <c:v>Alexis Mac Allister</c:v>
              </c:pt>
              <c:pt idx="2">
                <c:v>Angel Di Maria</c:v>
              </c:pt>
              <c:pt idx="3">
                <c:v>Cristian Romero</c:v>
              </c:pt>
              <c:pt idx="4">
                <c:v>Enzo Fernandez</c:v>
              </c:pt>
              <c:pt idx="5">
                <c:v>Exequiel Palacios</c:v>
              </c:pt>
              <c:pt idx="6">
                <c:v>Gonzalo Montiel</c:v>
              </c:pt>
              <c:pt idx="7">
                <c:v>Lautaro Martinez</c:v>
              </c:pt>
              <c:pt idx="8">
                <c:v>Leandro Paredes</c:v>
              </c:pt>
              <c:pt idx="9">
                <c:v>Lisandro Martinez</c:v>
              </c:pt>
              <c:pt idx="10">
                <c:v>Marcos Acuna</c:v>
              </c:pt>
              <c:pt idx="11">
                <c:v>Nahuel Molina</c:v>
              </c:pt>
              <c:pt idx="12">
                <c:v>Nicolas Otamendi</c:v>
              </c:pt>
              <c:pt idx="13">
                <c:v>Nicolas Tagliafico</c:v>
              </c:pt>
              <c:pt idx="14">
                <c:v>Rodrigo De Paul</c:v>
              </c:pt>
            </c:strLit>
          </c:cat>
          <c:val>
            <c:numLit>
              <c:formatCode>General</c:formatCode>
              <c:ptCount val="15"/>
              <c:pt idx="0">
                <c:v>0.83</c:v>
              </c:pt>
              <c:pt idx="1">
                <c:v>0.49</c:v>
              </c:pt>
              <c:pt idx="2">
                <c:v>0.31</c:v>
              </c:pt>
              <c:pt idx="3">
                <c:v>0.49</c:v>
              </c:pt>
              <c:pt idx="4">
                <c:v>0.48</c:v>
              </c:pt>
              <c:pt idx="5">
                <c:v>3.83</c:v>
              </c:pt>
              <c:pt idx="6">
                <c:v>0.77</c:v>
              </c:pt>
              <c:pt idx="7">
                <c:v>0.38</c:v>
              </c:pt>
              <c:pt idx="8">
                <c:v>1.21</c:v>
              </c:pt>
              <c:pt idx="9">
                <c:v>0.9</c:v>
              </c:pt>
              <c:pt idx="10">
                <c:v>0.48</c:v>
              </c:pt>
              <c:pt idx="11">
                <c:v>0.47</c:v>
              </c:pt>
              <c:pt idx="12">
                <c:v>1.17</c:v>
              </c:pt>
              <c:pt idx="13">
                <c:v>2.17</c:v>
              </c:pt>
              <c:pt idx="14">
                <c:v>1.05</c:v>
              </c:pt>
            </c:numLit>
          </c:val>
          <c:smooth val="0"/>
          <c:extLst>
            <c:ext xmlns:c16="http://schemas.microsoft.com/office/drawing/2014/chart" uri="{C3380CC4-5D6E-409C-BE32-E72D297353CC}">
              <c16:uniqueId val="{00000000-91E1-4B16-AF3F-6FC4FE0645C5}"/>
            </c:ext>
          </c:extLst>
        </c:ser>
        <c:dLbls>
          <c:showLegendKey val="0"/>
          <c:showVal val="0"/>
          <c:showCatName val="0"/>
          <c:showSerName val="0"/>
          <c:showPercent val="0"/>
          <c:showBubbleSize val="0"/>
        </c:dLbls>
        <c:marker val="1"/>
        <c:smooth val="0"/>
        <c:axId val="1111893568"/>
        <c:axId val="1111903168"/>
      </c:lineChart>
      <c:catAx>
        <c:axId val="1111893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1903168"/>
        <c:crosses val="autoZero"/>
        <c:auto val="1"/>
        <c:lblAlgn val="ctr"/>
        <c:lblOffset val="100"/>
        <c:noMultiLvlLbl val="0"/>
      </c:catAx>
      <c:valAx>
        <c:axId val="11119031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1893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Goals/Assists</a:t>
            </a:r>
            <a:r>
              <a:rPr lang="en-IN" baseline="0"/>
              <a:t> per Player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Sum of Goals Scored </c:v>
          </c:tx>
          <c:spPr>
            <a:solidFill>
              <a:schemeClr val="accent1"/>
            </a:solidFill>
            <a:ln>
              <a:noFill/>
            </a:ln>
            <a:effectLst/>
          </c:spPr>
          <c:invertIfNegative val="0"/>
          <c:cat>
            <c:strLit>
              <c:ptCount val="6"/>
              <c:pt idx="0">
                <c:v>Alexis Mac Allister</c:v>
              </c:pt>
              <c:pt idx="1">
                <c:v>Angel Di Maria</c:v>
              </c:pt>
              <c:pt idx="2">
                <c:v>Enzo Fernandez</c:v>
              </c:pt>
              <c:pt idx="3">
                <c:v>Julian Alvarez</c:v>
              </c:pt>
              <c:pt idx="4">
                <c:v>Lionel Messi</c:v>
              </c:pt>
              <c:pt idx="5">
                <c:v>Nahuel Molina</c:v>
              </c:pt>
            </c:strLit>
          </c:cat>
          <c:val>
            <c:numLit>
              <c:formatCode>General</c:formatCode>
              <c:ptCount val="6"/>
              <c:pt idx="0">
                <c:v>1</c:v>
              </c:pt>
              <c:pt idx="1">
                <c:v>1</c:v>
              </c:pt>
              <c:pt idx="2">
                <c:v>1</c:v>
              </c:pt>
              <c:pt idx="3">
                <c:v>4</c:v>
              </c:pt>
              <c:pt idx="4">
                <c:v>7</c:v>
              </c:pt>
              <c:pt idx="5">
                <c:v>1</c:v>
              </c:pt>
            </c:numLit>
          </c:val>
          <c:extLst>
            <c:ext xmlns:c16="http://schemas.microsoft.com/office/drawing/2014/chart" uri="{C3380CC4-5D6E-409C-BE32-E72D297353CC}">
              <c16:uniqueId val="{00000000-37BE-4405-9915-9EFDEB737ABC}"/>
            </c:ext>
          </c:extLst>
        </c:ser>
        <c:dLbls>
          <c:showLegendKey val="0"/>
          <c:showVal val="0"/>
          <c:showCatName val="0"/>
          <c:showSerName val="0"/>
          <c:showPercent val="0"/>
          <c:showBubbleSize val="0"/>
        </c:dLbls>
        <c:gapWidth val="219"/>
        <c:overlap val="-27"/>
        <c:axId val="579058448"/>
        <c:axId val="579053648"/>
      </c:barChart>
      <c:lineChart>
        <c:grouping val="standard"/>
        <c:varyColors val="0"/>
        <c:ser>
          <c:idx val="1"/>
          <c:order val="1"/>
          <c:tx>
            <c:v>Sum of Assists Provided </c:v>
          </c:tx>
          <c:spPr>
            <a:ln w="28575" cap="rnd">
              <a:solidFill>
                <a:schemeClr val="accent2"/>
              </a:solidFill>
              <a:round/>
            </a:ln>
            <a:effectLst/>
          </c:spPr>
          <c:marker>
            <c:symbol val="none"/>
          </c:marker>
          <c:cat>
            <c:strLit>
              <c:ptCount val="6"/>
              <c:pt idx="0">
                <c:v>Alexis Mac Allister</c:v>
              </c:pt>
              <c:pt idx="1">
                <c:v>Angel Di Maria</c:v>
              </c:pt>
              <c:pt idx="2">
                <c:v>Enzo Fernandez</c:v>
              </c:pt>
              <c:pt idx="3">
                <c:v>Julian Alvarez</c:v>
              </c:pt>
              <c:pt idx="4">
                <c:v>Lionel Messi</c:v>
              </c:pt>
              <c:pt idx="5">
                <c:v>Nahuel Molina</c:v>
              </c:pt>
            </c:strLit>
          </c:cat>
          <c:val>
            <c:numLit>
              <c:formatCode>General</c:formatCode>
              <c:ptCount val="6"/>
              <c:pt idx="0">
                <c:v>1</c:v>
              </c:pt>
              <c:pt idx="1">
                <c:v>1</c:v>
              </c:pt>
              <c:pt idx="2">
                <c:v>1</c:v>
              </c:pt>
              <c:pt idx="3">
                <c:v>0</c:v>
              </c:pt>
              <c:pt idx="4">
                <c:v>3</c:v>
              </c:pt>
              <c:pt idx="5">
                <c:v>1</c:v>
              </c:pt>
            </c:numLit>
          </c:val>
          <c:smooth val="0"/>
          <c:extLst>
            <c:ext xmlns:c16="http://schemas.microsoft.com/office/drawing/2014/chart" uri="{C3380CC4-5D6E-409C-BE32-E72D297353CC}">
              <c16:uniqueId val="{00000001-37BE-4405-9915-9EFDEB737ABC}"/>
            </c:ext>
          </c:extLst>
        </c:ser>
        <c:dLbls>
          <c:showLegendKey val="0"/>
          <c:showVal val="0"/>
          <c:showCatName val="0"/>
          <c:showSerName val="0"/>
          <c:showPercent val="0"/>
          <c:showBubbleSize val="0"/>
        </c:dLbls>
        <c:marker val="1"/>
        <c:smooth val="0"/>
        <c:axId val="579058448"/>
        <c:axId val="579053648"/>
      </c:lineChart>
      <c:catAx>
        <c:axId val="579058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9053648"/>
        <c:crosses val="autoZero"/>
        <c:auto val="1"/>
        <c:lblAlgn val="ctr"/>
        <c:lblOffset val="100"/>
        <c:noMultiLvlLbl val="0"/>
      </c:catAx>
      <c:valAx>
        <c:axId val="5790536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90584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Appearances per Player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24"/>
              <c:pt idx="0">
                <c:v>Alejandro Gomez</c:v>
              </c:pt>
              <c:pt idx="1">
                <c:v>Alexis Mac Allister</c:v>
              </c:pt>
              <c:pt idx="2">
                <c:v>Angel Correa</c:v>
              </c:pt>
              <c:pt idx="3">
                <c:v>Angel Di Maria</c:v>
              </c:pt>
              <c:pt idx="4">
                <c:v>Cristian Romero</c:v>
              </c:pt>
              <c:pt idx="5">
                <c:v>Emiliano Martinez</c:v>
              </c:pt>
              <c:pt idx="6">
                <c:v>Enzo Fernandez</c:v>
              </c:pt>
              <c:pt idx="7">
                <c:v>Exequiel Palacios</c:v>
              </c:pt>
              <c:pt idx="8">
                <c:v>German Pezzella</c:v>
              </c:pt>
              <c:pt idx="9">
                <c:v>Gonzalo Montiel</c:v>
              </c:pt>
              <c:pt idx="10">
                <c:v>Guido Rodriguez</c:v>
              </c:pt>
              <c:pt idx="11">
                <c:v>Juan Foyth</c:v>
              </c:pt>
              <c:pt idx="12">
                <c:v>Julian Alvarez</c:v>
              </c:pt>
              <c:pt idx="13">
                <c:v>Lautaro Martinez</c:v>
              </c:pt>
              <c:pt idx="14">
                <c:v>Leandro Paredes</c:v>
              </c:pt>
              <c:pt idx="15">
                <c:v>Lionel Messi</c:v>
              </c:pt>
              <c:pt idx="16">
                <c:v>Lisandro Martinez</c:v>
              </c:pt>
              <c:pt idx="17">
                <c:v>Marcos Acuna</c:v>
              </c:pt>
              <c:pt idx="18">
                <c:v>Nahuel Molina</c:v>
              </c:pt>
              <c:pt idx="19">
                <c:v>Nicolas Otamendi</c:v>
              </c:pt>
              <c:pt idx="20">
                <c:v>Nicolas Tagliafico</c:v>
              </c:pt>
              <c:pt idx="21">
                <c:v>Paulo Dybala</c:v>
              </c:pt>
              <c:pt idx="22">
                <c:v>Rodrigo De Paul</c:v>
              </c:pt>
              <c:pt idx="23">
                <c:v>Thiago Almada</c:v>
              </c:pt>
            </c:strLit>
          </c:cat>
          <c:val>
            <c:numLit>
              <c:formatCode>General</c:formatCode>
              <c:ptCount val="24"/>
              <c:pt idx="0">
                <c:v>2</c:v>
              </c:pt>
              <c:pt idx="1">
                <c:v>6</c:v>
              </c:pt>
              <c:pt idx="2">
                <c:v>1</c:v>
              </c:pt>
              <c:pt idx="3">
                <c:v>5</c:v>
              </c:pt>
              <c:pt idx="4">
                <c:v>7</c:v>
              </c:pt>
              <c:pt idx="5">
                <c:v>7</c:v>
              </c:pt>
              <c:pt idx="6">
                <c:v>7</c:v>
              </c:pt>
              <c:pt idx="7">
                <c:v>3</c:v>
              </c:pt>
              <c:pt idx="8">
                <c:v>3</c:v>
              </c:pt>
              <c:pt idx="9">
                <c:v>4</c:v>
              </c:pt>
              <c:pt idx="10">
                <c:v>1</c:v>
              </c:pt>
              <c:pt idx="11">
                <c:v>1</c:v>
              </c:pt>
              <c:pt idx="12">
                <c:v>7</c:v>
              </c:pt>
              <c:pt idx="13">
                <c:v>6</c:v>
              </c:pt>
              <c:pt idx="14">
                <c:v>5</c:v>
              </c:pt>
              <c:pt idx="15">
                <c:v>7</c:v>
              </c:pt>
              <c:pt idx="16">
                <c:v>5</c:v>
              </c:pt>
              <c:pt idx="17">
                <c:v>6</c:v>
              </c:pt>
              <c:pt idx="18">
                <c:v>7</c:v>
              </c:pt>
              <c:pt idx="19">
                <c:v>7</c:v>
              </c:pt>
              <c:pt idx="20">
                <c:v>6</c:v>
              </c:pt>
              <c:pt idx="21">
                <c:v>2</c:v>
              </c:pt>
              <c:pt idx="22">
                <c:v>7</c:v>
              </c:pt>
              <c:pt idx="23">
                <c:v>1</c:v>
              </c:pt>
            </c:numLit>
          </c:val>
          <c:extLst>
            <c:ext xmlns:c16="http://schemas.microsoft.com/office/drawing/2014/chart" uri="{C3380CC4-5D6E-409C-BE32-E72D297353CC}">
              <c16:uniqueId val="{00000000-51C6-4719-A1AA-A2105C7A74EA}"/>
            </c:ext>
          </c:extLst>
        </c:ser>
        <c:dLbls>
          <c:showLegendKey val="0"/>
          <c:showVal val="0"/>
          <c:showCatName val="0"/>
          <c:showSerName val="0"/>
          <c:showPercent val="0"/>
          <c:showBubbleSize val="0"/>
        </c:dLbls>
        <c:gapWidth val="219"/>
        <c:overlap val="-27"/>
        <c:axId val="1019242032"/>
        <c:axId val="1019242512"/>
      </c:barChart>
      <c:catAx>
        <c:axId val="1019242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242512"/>
        <c:crosses val="autoZero"/>
        <c:auto val="1"/>
        <c:lblAlgn val="ctr"/>
        <c:lblOffset val="100"/>
        <c:noMultiLvlLbl val="0"/>
      </c:catAx>
      <c:valAx>
        <c:axId val="1019242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242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Goals Scored by Age</a:t>
            </a:r>
            <a:r>
              <a:rPr lang="en-US" baseline="0"/>
              <a:t>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s>
    <c:plotArea>
      <c:layout/>
      <c:pieChart>
        <c:varyColors val="1"/>
        <c:ser>
          <c:idx val="0"/>
          <c:order val="0"/>
          <c:tx>
            <c:v>Total</c:v>
          </c:tx>
          <c:dPt>
            <c:idx val="0"/>
            <c:bubble3D val="0"/>
            <c:spPr>
              <a:solidFill>
                <a:schemeClr val="accent1"/>
              </a:solidFill>
              <a:ln>
                <a:noFill/>
              </a:ln>
              <a:effectLst/>
            </c:spPr>
            <c:extLst>
              <c:ext xmlns:c16="http://schemas.microsoft.com/office/drawing/2014/chart" uri="{C3380CC4-5D6E-409C-BE32-E72D297353CC}">
                <c16:uniqueId val="{00000001-BC4E-455F-B3E3-F6ABC5F72902}"/>
              </c:ext>
            </c:extLst>
          </c:dPt>
          <c:dPt>
            <c:idx val="1"/>
            <c:bubble3D val="0"/>
            <c:spPr>
              <a:solidFill>
                <a:schemeClr val="accent2"/>
              </a:solidFill>
              <a:ln>
                <a:noFill/>
              </a:ln>
              <a:effectLst/>
            </c:spPr>
            <c:extLst>
              <c:ext xmlns:c16="http://schemas.microsoft.com/office/drawing/2014/chart" uri="{C3380CC4-5D6E-409C-BE32-E72D297353CC}">
                <c16:uniqueId val="{00000003-BC4E-455F-B3E3-F6ABC5F72902}"/>
              </c:ext>
            </c:extLst>
          </c:dPt>
          <c:dPt>
            <c:idx val="2"/>
            <c:bubble3D val="0"/>
            <c:spPr>
              <a:solidFill>
                <a:schemeClr val="accent3"/>
              </a:solidFill>
              <a:ln>
                <a:noFill/>
              </a:ln>
              <a:effectLst/>
            </c:spPr>
            <c:extLst>
              <c:ext xmlns:c16="http://schemas.microsoft.com/office/drawing/2014/chart" uri="{C3380CC4-5D6E-409C-BE32-E72D297353CC}">
                <c16:uniqueId val="{00000005-BC4E-455F-B3E3-F6ABC5F72902}"/>
              </c:ext>
            </c:extLst>
          </c:dPt>
          <c:cat>
            <c:strLit>
              <c:ptCount val="3"/>
              <c:pt idx="0">
                <c:v>&lt;25</c:v>
              </c:pt>
              <c:pt idx="1">
                <c:v>&gt;30</c:v>
              </c:pt>
              <c:pt idx="2">
                <c:v>25-30</c:v>
              </c:pt>
            </c:strLit>
          </c:cat>
          <c:val>
            <c:numLit>
              <c:formatCode>General</c:formatCode>
              <c:ptCount val="3"/>
              <c:pt idx="0">
                <c:v>1</c:v>
              </c:pt>
              <c:pt idx="1">
                <c:v>8</c:v>
              </c:pt>
              <c:pt idx="2">
                <c:v>6</c:v>
              </c:pt>
            </c:numLit>
          </c:val>
          <c:extLst>
            <c:ext xmlns:c16="http://schemas.microsoft.com/office/drawing/2014/chart" uri="{C3380CC4-5D6E-409C-BE32-E72D297353CC}">
              <c16:uniqueId val="{00000006-BC4E-455F-B3E3-F6ABC5F7290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image" Target="../media/image3.svg"/><Relationship Id="rId7" Type="http://schemas.openxmlformats.org/officeDocument/2006/relationships/chart" Target="../charts/chart4.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 Id="rId9"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5</xdr:col>
      <xdr:colOff>165552</xdr:colOff>
      <xdr:row>1</xdr:row>
      <xdr:rowOff>86178</xdr:rowOff>
    </xdr:from>
    <xdr:to>
      <xdr:col>8</xdr:col>
      <xdr:colOff>276677</xdr:colOff>
      <xdr:row>5</xdr:row>
      <xdr:rowOff>180294</xdr:rowOff>
    </xdr:to>
    <xdr:sp macro="" textlink="">
      <xdr:nvSpPr>
        <xdr:cNvPr id="10" name="Rectangle 9">
          <a:extLst>
            <a:ext uri="{FF2B5EF4-FFF2-40B4-BE49-F238E27FC236}">
              <a16:creationId xmlns:a16="http://schemas.microsoft.com/office/drawing/2014/main" id="{D9137B9B-2E6A-D21E-65FF-B8F23AB735C4}"/>
            </a:ext>
          </a:extLst>
        </xdr:cNvPr>
        <xdr:cNvSpPr/>
      </xdr:nvSpPr>
      <xdr:spPr>
        <a:xfrm>
          <a:off x="3204481" y="548821"/>
          <a:ext cx="1934482" cy="819830"/>
        </a:xfrm>
        <a:prstGeom prst="rect">
          <a:avLst/>
        </a:prstGeom>
        <a:solidFill>
          <a:schemeClr val="tx2">
            <a:lumMod val="50000"/>
            <a:lumOff val="50000"/>
          </a:schemeClr>
        </a:solidFill>
        <a:ln>
          <a:solidFill>
            <a:schemeClr val="tx2">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a:t>Total</a:t>
          </a:r>
          <a:r>
            <a:rPr lang="en-IN" sz="1600" baseline="0"/>
            <a:t> Goals Scored</a:t>
          </a:r>
        </a:p>
        <a:p>
          <a:pPr algn="ctr"/>
          <a:r>
            <a:rPr lang="en-IN" sz="2400" baseline="0"/>
            <a:t>15</a:t>
          </a:r>
        </a:p>
      </xdr:txBody>
    </xdr:sp>
    <xdr:clientData/>
  </xdr:twoCellAnchor>
  <xdr:twoCellAnchor>
    <xdr:from>
      <xdr:col>13</xdr:col>
      <xdr:colOff>409348</xdr:colOff>
      <xdr:row>1</xdr:row>
      <xdr:rowOff>94116</xdr:rowOff>
    </xdr:from>
    <xdr:to>
      <xdr:col>16</xdr:col>
      <xdr:colOff>544284</xdr:colOff>
      <xdr:row>6</xdr:row>
      <xdr:rowOff>62365</xdr:rowOff>
    </xdr:to>
    <xdr:sp macro="" textlink="">
      <xdr:nvSpPr>
        <xdr:cNvPr id="11" name="Rectangle 10">
          <a:extLst>
            <a:ext uri="{FF2B5EF4-FFF2-40B4-BE49-F238E27FC236}">
              <a16:creationId xmlns:a16="http://schemas.microsoft.com/office/drawing/2014/main" id="{1D489B09-C049-93F8-40F3-68E388FD6272}"/>
            </a:ext>
          </a:extLst>
        </xdr:cNvPr>
        <xdr:cNvSpPr/>
      </xdr:nvSpPr>
      <xdr:spPr>
        <a:xfrm>
          <a:off x="8310562" y="556759"/>
          <a:ext cx="1958293" cy="875392"/>
        </a:xfrm>
        <a:prstGeom prst="rect">
          <a:avLst/>
        </a:prstGeom>
        <a:solidFill>
          <a:schemeClr val="tx2">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t>Average Interactions per 90 mins</a:t>
          </a:r>
        </a:p>
        <a:p>
          <a:pPr algn="ctr"/>
          <a:r>
            <a:rPr lang="en-IN" sz="2000"/>
            <a:t>0.58</a:t>
          </a:r>
        </a:p>
      </xdr:txBody>
    </xdr:sp>
    <xdr:clientData/>
  </xdr:twoCellAnchor>
  <xdr:twoCellAnchor>
    <xdr:from>
      <xdr:col>9</xdr:col>
      <xdr:colOff>301624</xdr:colOff>
      <xdr:row>1</xdr:row>
      <xdr:rowOff>83910</xdr:rowOff>
    </xdr:from>
    <xdr:to>
      <xdr:col>12</xdr:col>
      <xdr:colOff>476249</xdr:colOff>
      <xdr:row>6</xdr:row>
      <xdr:rowOff>20409</xdr:rowOff>
    </xdr:to>
    <xdr:sp macro="" textlink="">
      <xdr:nvSpPr>
        <xdr:cNvPr id="13" name="Rectangle 12">
          <a:extLst>
            <a:ext uri="{FF2B5EF4-FFF2-40B4-BE49-F238E27FC236}">
              <a16:creationId xmlns:a16="http://schemas.microsoft.com/office/drawing/2014/main" id="{E44543C4-172C-EFF0-D047-F8F72F9DA7A7}"/>
            </a:ext>
          </a:extLst>
        </xdr:cNvPr>
        <xdr:cNvSpPr/>
      </xdr:nvSpPr>
      <xdr:spPr>
        <a:xfrm>
          <a:off x="5771695" y="546553"/>
          <a:ext cx="1997983" cy="843642"/>
        </a:xfrm>
        <a:prstGeom prst="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a:t>Total Assist Provided</a:t>
          </a:r>
        </a:p>
        <a:p>
          <a:pPr algn="ctr"/>
          <a:r>
            <a:rPr lang="en-IN" sz="2400"/>
            <a:t>8</a:t>
          </a:r>
        </a:p>
      </xdr:txBody>
    </xdr:sp>
    <xdr:clientData/>
  </xdr:twoCellAnchor>
  <xdr:twoCellAnchor editAs="oneCell">
    <xdr:from>
      <xdr:col>0</xdr:col>
      <xdr:colOff>117929</xdr:colOff>
      <xdr:row>2</xdr:row>
      <xdr:rowOff>45357</xdr:rowOff>
    </xdr:from>
    <xdr:to>
      <xdr:col>3</xdr:col>
      <xdr:colOff>435429</xdr:colOff>
      <xdr:row>11</xdr:row>
      <xdr:rowOff>45356</xdr:rowOff>
    </xdr:to>
    <xdr:pic>
      <xdr:nvPicPr>
        <xdr:cNvPr id="15" name="Picture 14" descr="🇦🇷 Flag: Argentina Emoji: Meaning &amp; Usage">
          <a:extLst>
            <a:ext uri="{FF2B5EF4-FFF2-40B4-BE49-F238E27FC236}">
              <a16:creationId xmlns:a16="http://schemas.microsoft.com/office/drawing/2014/main" id="{68D58000-7B1B-E0BA-8652-0F77608B6623}"/>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11144" b="11702"/>
        <a:stretch>
          <a:fillRect/>
        </a:stretch>
      </xdr:blipFill>
      <xdr:spPr bwMode="auto">
        <a:xfrm>
          <a:off x="117929" y="689428"/>
          <a:ext cx="2140857" cy="16328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72573</xdr:colOff>
      <xdr:row>0</xdr:row>
      <xdr:rowOff>1</xdr:rowOff>
    </xdr:from>
    <xdr:to>
      <xdr:col>0</xdr:col>
      <xdr:colOff>544286</xdr:colOff>
      <xdr:row>1</xdr:row>
      <xdr:rowOff>9071</xdr:rowOff>
    </xdr:to>
    <xdr:pic>
      <xdr:nvPicPr>
        <xdr:cNvPr id="17" name="Graphic 16" descr="Soccer ball with solid fill">
          <a:extLst>
            <a:ext uri="{FF2B5EF4-FFF2-40B4-BE49-F238E27FC236}">
              <a16:creationId xmlns:a16="http://schemas.microsoft.com/office/drawing/2014/main" id="{B14DF940-0527-CA62-29D3-2C3CDF9C6B7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72573" y="1"/>
          <a:ext cx="471713" cy="471713"/>
        </a:xfrm>
        <a:prstGeom prst="rect">
          <a:avLst/>
        </a:prstGeom>
      </xdr:spPr>
    </xdr:pic>
    <xdr:clientData/>
  </xdr:twoCellAnchor>
  <xdr:twoCellAnchor>
    <xdr:from>
      <xdr:col>3</xdr:col>
      <xdr:colOff>535214</xdr:colOff>
      <xdr:row>6</xdr:row>
      <xdr:rowOff>163285</xdr:rowOff>
    </xdr:from>
    <xdr:to>
      <xdr:col>10</xdr:col>
      <xdr:colOff>462643</xdr:colOff>
      <xdr:row>18</xdr:row>
      <xdr:rowOff>-1</xdr:rowOff>
    </xdr:to>
    <xdr:graphicFrame macro="">
      <xdr:nvGraphicFramePr>
        <xdr:cNvPr id="18" name="Chart 17">
          <a:extLst>
            <a:ext uri="{FF2B5EF4-FFF2-40B4-BE49-F238E27FC236}">
              <a16:creationId xmlns:a16="http://schemas.microsoft.com/office/drawing/2014/main" id="{5E645B4E-C13A-4182-A945-9BC9DD0EC5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80736</xdr:colOff>
      <xdr:row>11</xdr:row>
      <xdr:rowOff>163285</xdr:rowOff>
    </xdr:from>
    <xdr:to>
      <xdr:col>3</xdr:col>
      <xdr:colOff>86179</xdr:colOff>
      <xdr:row>19</xdr:row>
      <xdr:rowOff>154214</xdr:rowOff>
    </xdr:to>
    <mc:AlternateContent xmlns:mc="http://schemas.openxmlformats.org/markup-compatibility/2006" xmlns:a14="http://schemas.microsoft.com/office/drawing/2010/main">
      <mc:Choice Requires="a14">
        <xdr:graphicFrame macro="">
          <xdr:nvGraphicFramePr>
            <xdr:cNvPr id="19" name="Position">
              <a:extLst>
                <a:ext uri="{FF2B5EF4-FFF2-40B4-BE49-F238E27FC236}">
                  <a16:creationId xmlns:a16="http://schemas.microsoft.com/office/drawing/2014/main" id="{7DA92DCD-F90D-DB9E-7025-B87DDA984FDC}"/>
                </a:ext>
              </a:extLst>
            </xdr:cNvPr>
            <xdr:cNvGraphicFramePr/>
          </xdr:nvGraphicFramePr>
          <xdr:xfrm>
            <a:off x="0" y="0"/>
            <a:ext cx="0" cy="0"/>
          </xdr:xfrm>
          <a:graphic>
            <a:graphicData uri="http://schemas.microsoft.com/office/drawing/2010/slicer">
              <sle:slicer xmlns:sle="http://schemas.microsoft.com/office/drawing/2010/slicer" name="Position"/>
            </a:graphicData>
          </a:graphic>
        </xdr:graphicFrame>
      </mc:Choice>
      <mc:Fallback xmlns="">
        <xdr:sp macro="" textlink="">
          <xdr:nvSpPr>
            <xdr:cNvPr id="0" name=""/>
            <xdr:cNvSpPr>
              <a:spLocks noTextEdit="1"/>
            </xdr:cNvSpPr>
          </xdr:nvSpPr>
          <xdr:spPr>
            <a:xfrm>
              <a:off x="80736" y="2440214"/>
              <a:ext cx="1828800" cy="14423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139699</xdr:colOff>
      <xdr:row>22</xdr:row>
      <xdr:rowOff>176893</xdr:rowOff>
    </xdr:from>
    <xdr:to>
      <xdr:col>3</xdr:col>
      <xdr:colOff>145142</xdr:colOff>
      <xdr:row>29</xdr:row>
      <xdr:rowOff>90714</xdr:rowOff>
    </xdr:to>
    <mc:AlternateContent xmlns:mc="http://schemas.openxmlformats.org/markup-compatibility/2006" xmlns:a14="http://schemas.microsoft.com/office/drawing/2010/main">
      <mc:Choice Requires="a14">
        <xdr:graphicFrame macro="">
          <xdr:nvGraphicFramePr>
            <xdr:cNvPr id="20" name="Age Group">
              <a:extLst>
                <a:ext uri="{FF2B5EF4-FFF2-40B4-BE49-F238E27FC236}">
                  <a16:creationId xmlns:a16="http://schemas.microsoft.com/office/drawing/2014/main" id="{C092554B-EB52-1551-FCE6-9E66680EF7F2}"/>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139699" y="4449536"/>
              <a:ext cx="1828800" cy="11838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36285</xdr:colOff>
      <xdr:row>6</xdr:row>
      <xdr:rowOff>163285</xdr:rowOff>
    </xdr:from>
    <xdr:to>
      <xdr:col>18</xdr:col>
      <xdr:colOff>117928</xdr:colOff>
      <xdr:row>17</xdr:row>
      <xdr:rowOff>117929</xdr:rowOff>
    </xdr:to>
    <xdr:graphicFrame macro="">
      <xdr:nvGraphicFramePr>
        <xdr:cNvPr id="21" name="Chart 20">
          <a:extLst>
            <a:ext uri="{FF2B5EF4-FFF2-40B4-BE49-F238E27FC236}">
              <a16:creationId xmlns:a16="http://schemas.microsoft.com/office/drawing/2014/main" id="{104BF827-02D8-439C-B620-B54693985A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281214</xdr:colOff>
      <xdr:row>6</xdr:row>
      <xdr:rowOff>154213</xdr:rowOff>
    </xdr:from>
    <xdr:to>
      <xdr:col>27</xdr:col>
      <xdr:colOff>272142</xdr:colOff>
      <xdr:row>21</xdr:row>
      <xdr:rowOff>94342</xdr:rowOff>
    </xdr:to>
    <xdr:graphicFrame macro="">
      <xdr:nvGraphicFramePr>
        <xdr:cNvPr id="23" name="Chart 22">
          <a:extLst>
            <a:ext uri="{FF2B5EF4-FFF2-40B4-BE49-F238E27FC236}">
              <a16:creationId xmlns:a16="http://schemas.microsoft.com/office/drawing/2014/main" id="{490327A2-159D-4464-901F-532E452B8A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335644</xdr:colOff>
      <xdr:row>19</xdr:row>
      <xdr:rowOff>18144</xdr:rowOff>
    </xdr:from>
    <xdr:to>
      <xdr:col>10</xdr:col>
      <xdr:colOff>299358</xdr:colOff>
      <xdr:row>33</xdr:row>
      <xdr:rowOff>9072</xdr:rowOff>
    </xdr:to>
    <xdr:graphicFrame macro="">
      <xdr:nvGraphicFramePr>
        <xdr:cNvPr id="24" name="Chart 23">
          <a:extLst>
            <a:ext uri="{FF2B5EF4-FFF2-40B4-BE49-F238E27FC236}">
              <a16:creationId xmlns:a16="http://schemas.microsoft.com/office/drawing/2014/main" id="{EF890D17-C386-497C-A437-0CE33D3508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444501</xdr:colOff>
      <xdr:row>18</xdr:row>
      <xdr:rowOff>163285</xdr:rowOff>
    </xdr:from>
    <xdr:to>
      <xdr:col>18</xdr:col>
      <xdr:colOff>154215</xdr:colOff>
      <xdr:row>32</xdr:row>
      <xdr:rowOff>166914</xdr:rowOff>
    </xdr:to>
    <xdr:graphicFrame macro="">
      <xdr:nvGraphicFramePr>
        <xdr:cNvPr id="25" name="Chart 24">
          <a:extLst>
            <a:ext uri="{FF2B5EF4-FFF2-40B4-BE49-F238E27FC236}">
              <a16:creationId xmlns:a16="http://schemas.microsoft.com/office/drawing/2014/main" id="{802019AF-BF58-4B11-AA8D-522DC585AD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18</xdr:col>
      <xdr:colOff>290286</xdr:colOff>
      <xdr:row>21</xdr:row>
      <xdr:rowOff>136071</xdr:rowOff>
    </xdr:from>
    <xdr:to>
      <xdr:col>27</xdr:col>
      <xdr:colOff>272142</xdr:colOff>
      <xdr:row>33</xdr:row>
      <xdr:rowOff>45357</xdr:rowOff>
    </xdr:to>
    <xdr:graphicFrame macro="">
      <xdr:nvGraphicFramePr>
        <xdr:cNvPr id="26" name="Chart 25">
          <a:extLst>
            <a:ext uri="{FF2B5EF4-FFF2-40B4-BE49-F238E27FC236}">
              <a16:creationId xmlns:a16="http://schemas.microsoft.com/office/drawing/2014/main" id="{490B3096-F338-47D7-B0A8-0F5A3784B9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run Sam" refreshedDate="45922.648917361112" createdVersion="8" refreshedVersion="8" minRefreshableVersion="3" recordCount="26" xr:uid="{9221F983-B305-4C82-B8A9-C0B4D69DCD8B}">
  <cacheSource type="worksheet">
    <worksheetSource name="Table1"/>
  </cacheSource>
  <cacheFields count="13">
    <cacheField name="Player Name " numFmtId="0">
      <sharedItems count="26">
        <s v="Nicolas Otamendi"/>
        <s v="Marcos Acuna"/>
        <s v="Nicolas Tagliafico"/>
        <s v="German Pezzella"/>
        <s v="Nahuel Molina"/>
        <s v="Gonzalo Montiel"/>
        <s v="Juan Foyth"/>
        <s v="Cristian Romero"/>
        <s v="Lisandro Martinez"/>
        <s v="Leandro Paredes"/>
        <s v="Rodrigo De Paul"/>
        <s v="Guido Rodriguez"/>
        <s v="Exequiel Palacios"/>
        <s v="Alexis Mac Allister"/>
        <s v="Enzo Fernandez"/>
        <s v="Alejandro Gomez"/>
        <s v="Lionel Messi"/>
        <s v="Lautaro Martinez"/>
        <s v="Paulo Dybala"/>
        <s v="Thiago Almada"/>
        <s v="Julian Alvarez"/>
        <s v="Angel Di Maria"/>
        <s v="Angel Correa"/>
        <s v="Emiliano Martinez"/>
        <s v="Franco Armani"/>
        <s v="Geronimo Rulli"/>
      </sharedItems>
    </cacheField>
    <cacheField name="Position" numFmtId="0">
      <sharedItems count="4">
        <s v="DF"/>
        <s v="MF"/>
        <s v="FW"/>
        <s v="GK"/>
      </sharedItems>
    </cacheField>
    <cacheField name="Jersey Number" numFmtId="0">
      <sharedItems containsSemiMixedTypes="0" containsString="0" containsNumber="1" containsInteger="1" minValue="1" maxValue="26"/>
    </cacheField>
    <cacheField name="Player DOB" numFmtId="14">
      <sharedItems containsSemiMixedTypes="0" containsNonDate="0" containsDate="1" containsString="0" minDate="1987-01-13T00:00:00" maxDate="2001-03-27T00:00:00"/>
    </cacheField>
    <cacheField name="Club " numFmtId="0">
      <sharedItems/>
    </cacheField>
    <cacheField name=" Appearances" numFmtId="0">
      <sharedItems containsSemiMixedTypes="0" containsString="0" containsNumber="1" containsInteger="1" minValue="0" maxValue="7"/>
    </cacheField>
    <cacheField name="Goals Scored " numFmtId="0">
      <sharedItems containsSemiMixedTypes="0" containsString="0" containsNumber="1" containsInteger="1" minValue="0" maxValue="7"/>
    </cacheField>
    <cacheField name="Assists Provided " numFmtId="0">
      <sharedItems containsSemiMixedTypes="0" containsString="0" containsNumber="1" containsInteger="1" minValue="0" maxValue="3"/>
    </cacheField>
    <cacheField name="Dribbles per 90 Min" numFmtId="0">
      <sharedItems containsSemiMixedTypes="0" containsString="0" containsNumber="1" minValue="0" maxValue="6.83"/>
    </cacheField>
    <cacheField name="Interceptions per 90 Min" numFmtId="0">
      <sharedItems containsSemiMixedTypes="0" containsString="0" containsNumber="1" minValue="0" maxValue="3.83"/>
    </cacheField>
    <cacheField name="Tackles per 90 Min" numFmtId="0">
      <sharedItems containsSemiMixedTypes="0" containsString="0" containsNumber="1" minValue="0" maxValue="4.0199999999999996"/>
    </cacheField>
    <cacheField name="Total Duels Won per 90 Min" numFmtId="0">
      <sharedItems containsSemiMixedTypes="0" containsString="0" containsNumber="1" minValue="0" maxValue="9.24"/>
    </cacheField>
    <cacheField name="Age Group" numFmtId="0">
      <sharedItems count="3">
        <s v="&gt;30"/>
        <s v="25-30"/>
        <s v="&lt;25"/>
      </sharedItems>
    </cacheField>
  </cacheFields>
  <extLst>
    <ext xmlns:x14="http://schemas.microsoft.com/office/spreadsheetml/2009/9/main" uri="{725AE2AE-9491-48be-B2B4-4EB974FC3084}">
      <x14:pivotCacheDefinition pivotCacheId="30083220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
  <r>
    <x v="0"/>
    <x v="0"/>
    <n v="19"/>
    <d v="1989-07-13T00:00:00"/>
    <s v="Benfica"/>
    <n v="7"/>
    <n v="0"/>
    <n v="1"/>
    <n v="0.33"/>
    <n v="1.17"/>
    <n v="1.3"/>
    <n v="7.17"/>
    <x v="0"/>
  </r>
  <r>
    <x v="1"/>
    <x v="0"/>
    <n v="8"/>
    <d v="1991-03-16T00:00:00"/>
    <s v="Sevilla"/>
    <n v="6"/>
    <n v="0"/>
    <n v="0"/>
    <n v="1.45"/>
    <n v="0.48"/>
    <n v="2.9"/>
    <n v="7.97"/>
    <x v="0"/>
  </r>
  <r>
    <x v="2"/>
    <x v="0"/>
    <n v="3"/>
    <d v="1991-05-06T00:00:00"/>
    <s v="Lyon"/>
    <n v="6"/>
    <n v="0"/>
    <n v="0"/>
    <n v="0.48"/>
    <n v="2.17"/>
    <n v="1.69"/>
    <n v="5.07"/>
    <x v="0"/>
  </r>
  <r>
    <x v="3"/>
    <x v="0"/>
    <n v="6"/>
    <d v="1991-02-25T00:00:00"/>
    <s v="Real Betis"/>
    <n v="3"/>
    <n v="0"/>
    <n v="0"/>
    <n v="0"/>
    <n v="0"/>
    <n v="0"/>
    <n v="3.16"/>
    <x v="0"/>
  </r>
  <r>
    <x v="4"/>
    <x v="0"/>
    <n v="26"/>
    <d v="1998-02-11T00:00:00"/>
    <s v="Atletico Madrid"/>
    <n v="7"/>
    <n v="1"/>
    <n v="1"/>
    <n v="0.32"/>
    <n v="0.47"/>
    <n v="1.42"/>
    <n v="1.58"/>
    <x v="1"/>
  </r>
  <r>
    <x v="5"/>
    <x v="0"/>
    <n v="4"/>
    <d v="1997-07-11T00:00:00"/>
    <s v="Sevilla"/>
    <n v="4"/>
    <n v="0"/>
    <n v="0"/>
    <n v="0.77"/>
    <n v="0.77"/>
    <n v="2.31"/>
    <n v="5.39"/>
    <x v="1"/>
  </r>
  <r>
    <x v="6"/>
    <x v="0"/>
    <n v="2"/>
    <d v="1997-09-30T00:00:00"/>
    <s v="Villarreal"/>
    <n v="1"/>
    <n v="0"/>
    <n v="0"/>
    <n v="0"/>
    <n v="0"/>
    <n v="0"/>
    <n v="0"/>
    <x v="1"/>
  </r>
  <r>
    <x v="7"/>
    <x v="0"/>
    <n v="13"/>
    <d v="1998-02-23T00:00:00"/>
    <s v="Tottenham"/>
    <n v="7"/>
    <n v="0"/>
    <n v="0"/>
    <n v="0.16"/>
    <n v="0.49"/>
    <n v="0.82"/>
    <n v="5.09"/>
    <x v="1"/>
  </r>
  <r>
    <x v="8"/>
    <x v="0"/>
    <n v="25"/>
    <d v="1997-10-09T00:00:00"/>
    <s v="Manchester United"/>
    <n v="5"/>
    <n v="0"/>
    <n v="0"/>
    <n v="0.3"/>
    <n v="0.9"/>
    <n v="1.5"/>
    <n v="4.1900000000000004"/>
    <x v="1"/>
  </r>
  <r>
    <x v="9"/>
    <x v="1"/>
    <n v="5"/>
    <d v="1992-09-25T00:00:00"/>
    <s v="Juventus"/>
    <n v="5"/>
    <n v="0"/>
    <n v="0"/>
    <n v="0.4"/>
    <n v="1.21"/>
    <n v="4.0199999999999996"/>
    <n v="9.24"/>
    <x v="0"/>
  </r>
  <r>
    <x v="10"/>
    <x v="1"/>
    <n v="7"/>
    <d v="1992-06-17T00:00:00"/>
    <s v="Atletico Madrid"/>
    <n v="7"/>
    <n v="0"/>
    <n v="0"/>
    <n v="0.6"/>
    <n v="1.05"/>
    <n v="1.79"/>
    <n v="4.6399999999999997"/>
    <x v="0"/>
  </r>
  <r>
    <x v="11"/>
    <x v="1"/>
    <n v="18"/>
    <d v="1992-05-18T00:00:00"/>
    <s v="Real Betis"/>
    <n v="1"/>
    <n v="0"/>
    <n v="0"/>
    <n v="0"/>
    <n v="0"/>
    <n v="3.16"/>
    <n v="6.32"/>
    <x v="0"/>
  </r>
  <r>
    <x v="12"/>
    <x v="1"/>
    <n v="14"/>
    <d v="1998-07-01T00:00:00"/>
    <s v="Bayer Leverkusen"/>
    <n v="3"/>
    <n v="0"/>
    <n v="0"/>
    <n v="0"/>
    <n v="3.83"/>
    <n v="1.91"/>
    <n v="7.66"/>
    <x v="1"/>
  </r>
  <r>
    <x v="13"/>
    <x v="1"/>
    <n v="20"/>
    <d v="1998-07-23T00:00:00"/>
    <s v="Brighton"/>
    <n v="6"/>
    <n v="1"/>
    <n v="1"/>
    <n v="0.97"/>
    <n v="0.49"/>
    <n v="1.46"/>
    <n v="5.85"/>
    <x v="1"/>
  </r>
  <r>
    <x v="14"/>
    <x v="1"/>
    <n v="24"/>
    <d v="2001-03-07T00:00:00"/>
    <s v="Benfica"/>
    <n v="7"/>
    <n v="1"/>
    <n v="1"/>
    <n v="0.8"/>
    <n v="0.48"/>
    <n v="3.52"/>
    <n v="7.83"/>
    <x v="2"/>
  </r>
  <r>
    <x v="15"/>
    <x v="1"/>
    <n v="17"/>
    <d v="2001-03-26T00:00:00"/>
    <s v="Atlanta United"/>
    <n v="2"/>
    <n v="0"/>
    <n v="0"/>
    <n v="0.83"/>
    <n v="0.83"/>
    <n v="1.65"/>
    <n v="8.26"/>
    <x v="2"/>
  </r>
  <r>
    <x v="16"/>
    <x v="2"/>
    <n v="10"/>
    <d v="1987-01-13T00:00:00"/>
    <s v="PSG"/>
    <n v="7"/>
    <n v="7"/>
    <n v="3"/>
    <n v="3.78"/>
    <n v="0"/>
    <n v="0.65"/>
    <n v="6.39"/>
    <x v="0"/>
  </r>
  <r>
    <x v="17"/>
    <x v="2"/>
    <n v="22"/>
    <d v="1998-04-12T00:00:00"/>
    <s v="Inter"/>
    <n v="6"/>
    <n v="0"/>
    <n v="0"/>
    <n v="1.89"/>
    <n v="0.38"/>
    <n v="0"/>
    <n v="6.81"/>
    <x v="1"/>
  </r>
  <r>
    <x v="18"/>
    <x v="2"/>
    <n v="21"/>
    <d v="1991-04-09T00:00:00"/>
    <s v="Roma"/>
    <n v="2"/>
    <n v="0"/>
    <n v="0"/>
    <n v="5.62"/>
    <n v="0"/>
    <n v="0"/>
    <n v="0"/>
    <x v="0"/>
  </r>
  <r>
    <x v="19"/>
    <x v="2"/>
    <n v="16"/>
    <d v="2001-03-26T00:00:00"/>
    <s v="Inter"/>
    <n v="1"/>
    <n v="0"/>
    <n v="0"/>
    <n v="0"/>
    <n v="0"/>
    <n v="0"/>
    <n v="0"/>
    <x v="2"/>
  </r>
  <r>
    <x v="20"/>
    <x v="2"/>
    <n v="9"/>
    <d v="2000-02-10T00:00:00"/>
    <s v="Manchester City"/>
    <n v="7"/>
    <n v="4"/>
    <n v="0"/>
    <n v="0.57999999999999996"/>
    <n v="0"/>
    <n v="0.77"/>
    <n v="1.93"/>
    <x v="1"/>
  </r>
  <r>
    <x v="21"/>
    <x v="2"/>
    <n v="11"/>
    <d v="1989-07-16T00:00:00"/>
    <s v="Juventus"/>
    <n v="5"/>
    <n v="1"/>
    <n v="1"/>
    <n v="6.83"/>
    <n v="0.31"/>
    <n v="0.93"/>
    <n v="7.14"/>
    <x v="0"/>
  </r>
  <r>
    <x v="22"/>
    <x v="2"/>
    <n v="15"/>
    <d v="1995-07-28T00:00:00"/>
    <s v="Atletico Madrid"/>
    <n v="1"/>
    <n v="0"/>
    <n v="0"/>
    <n v="0"/>
    <n v="0"/>
    <n v="0"/>
    <n v="0"/>
    <x v="1"/>
  </r>
  <r>
    <x v="23"/>
    <x v="3"/>
    <n v="23"/>
    <d v="1991-05-07T00:00:00"/>
    <s v="Aston Villa"/>
    <n v="7"/>
    <n v="0"/>
    <n v="0"/>
    <n v="0"/>
    <n v="0"/>
    <n v="0"/>
    <n v="0.65"/>
    <x v="0"/>
  </r>
  <r>
    <x v="24"/>
    <x v="3"/>
    <n v="1"/>
    <d v="1987-05-29T00:00:00"/>
    <s v="River"/>
    <n v="0"/>
    <n v="0"/>
    <n v="0"/>
    <n v="0"/>
    <n v="0"/>
    <n v="0"/>
    <n v="0"/>
    <x v="0"/>
  </r>
  <r>
    <x v="25"/>
    <x v="3"/>
    <n v="12"/>
    <d v="1991-07-15T00:00:00"/>
    <s v="Villarreal"/>
    <n v="0"/>
    <n v="0"/>
    <n v="0"/>
    <n v="0"/>
    <n v="0"/>
    <n v="0"/>
    <n v="0"/>
    <x v="0"/>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sition" xr10:uid="{660834A8-4799-4CDA-B5DE-C5C7B7878934}" sourceName="Position">
  <data>
    <tabular pivotCacheId="300832205">
      <items count="4">
        <i x="0"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6AF2DE46-F411-4CF6-A2B3-5B56364371C6}" sourceName="Age Group">
  <data>
    <tabular pivotCacheId="300832205">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osition" xr10:uid="{0C390246-973E-4FF0-BBFE-D5266A492FD7}" cache="Slicer_Position" caption="Position" rowHeight="251883"/>
  <slicer name="Age Group" xr10:uid="{85752EBA-8FB2-469D-992D-C15339E6903C}" cache="Slicer_Age_Group" caption="Age Group"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4606044-8483-40B3-A9E6-2EEC6291EC92}" name="Table1" displayName="Table1" ref="B6:N32" totalsRowShown="0" headerRowDxfId="19" dataDxfId="17" headerRowBorderDxfId="18" tableBorderDxfId="16" totalsRowBorderDxfId="15">
  <autoFilter ref="B6:N32" xr:uid="{B4606044-8483-40B3-A9E6-2EEC6291EC92}"/>
  <tableColumns count="13">
    <tableColumn id="1" xr3:uid="{D7E2831F-73B3-429D-BA6C-099E96E7ABD8}" name="Player Name " dataDxfId="14"/>
    <tableColumn id="2" xr3:uid="{DC53EED6-6EE7-466A-8F96-F605849B3688}" name="Position" dataDxfId="13"/>
    <tableColumn id="3" xr3:uid="{590F9760-033B-4B43-AC30-CE3DE76037D4}" name="Jersey Number" dataDxfId="12"/>
    <tableColumn id="4" xr3:uid="{6877CE3E-32B5-459C-BC7D-D83BA0361D1A}" name="Player DOB" dataDxfId="11"/>
    <tableColumn id="5" xr3:uid="{12D57CB0-CED2-403E-B435-5A2FE9AF03B8}" name="Club " dataDxfId="10"/>
    <tableColumn id="6" xr3:uid="{033E508A-1AD4-43EB-AB72-44752BBCAC5E}" name=" Appearances" dataDxfId="9"/>
    <tableColumn id="7" xr3:uid="{29F99DD0-66D9-4D7B-BF55-25D8CA0A12D3}" name="Goals Scored " dataDxfId="8"/>
    <tableColumn id="8" xr3:uid="{42852E29-FDE1-43EE-895A-0D37463FD08E}" name="Assists Provided " dataDxfId="7"/>
    <tableColumn id="9" xr3:uid="{FF43B718-22CE-4CD4-838C-C3802A453A3F}" name="Dribbles per 90 Min" dataDxfId="6"/>
    <tableColumn id="10" xr3:uid="{E797FE04-09EE-4D77-981F-8F9A929B88E8}" name="Interceptions per 90 Min" dataDxfId="5"/>
    <tableColumn id="11" xr3:uid="{978630F1-5FDF-488E-9696-A0499AA3808F}" name="Tackles per 90 Min" dataDxfId="4"/>
    <tableColumn id="12" xr3:uid="{49D5EC4B-7FDA-447C-AA43-308B92A3BDA3}" name="Total Duels Won per 90 Min" dataDxfId="3"/>
    <tableColumn id="13" xr3:uid="{08E78347-7AAA-40AD-8C95-7054B40A9822}" name="Age Group" dataDxfId="2">
      <calculatedColumnFormula>IF(DATEDIF(E7, TODAY(), "Y")&lt;25, "&lt;25", IF(DATEDIF(E7, TODAY(), "Y")&lt;=30, "25-30", "&gt;30"))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50C51-8D0E-44E8-97D3-AA6B93434107}">
  <dimension ref="A1:G5"/>
  <sheetViews>
    <sheetView showGridLines="0" zoomScale="70" zoomScaleNormal="70" workbookViewId="0">
      <selection activeCell="C32" sqref="C32"/>
    </sheetView>
  </sheetViews>
  <sheetFormatPr defaultRowHeight="14.5" x14ac:dyDescent="0.35"/>
  <sheetData>
    <row r="1" spans="1:7" s="24" customFormat="1" ht="36.5" customHeight="1" x14ac:dyDescent="0.35">
      <c r="A1" s="23" t="s">
        <v>68</v>
      </c>
    </row>
    <row r="5" spans="1:7" x14ac:dyDescent="0.35">
      <c r="G5" s="9"/>
    </row>
  </sheetData>
  <mergeCells count="1">
    <mergeCell ref="A1:XFD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D02360-37C3-46A2-9163-75DD9A921193}">
  <dimension ref="B2:N32"/>
  <sheetViews>
    <sheetView showGridLines="0" tabSelected="1" topLeftCell="B5" zoomScale="80" zoomScaleNormal="80" workbookViewId="0">
      <selection activeCell="H14" sqref="H14"/>
    </sheetView>
  </sheetViews>
  <sheetFormatPr defaultColWidth="8.90625" defaultRowHeight="14.5" x14ac:dyDescent="0.35"/>
  <cols>
    <col min="1" max="1" width="5.08984375" style="2" customWidth="1"/>
    <col min="2" max="2" width="17.54296875" style="2" bestFit="1" customWidth="1"/>
    <col min="3" max="3" width="10.26953125" style="2" customWidth="1"/>
    <col min="4" max="4" width="16.7265625" style="2" customWidth="1"/>
    <col min="5" max="5" width="13.36328125" style="2" customWidth="1"/>
    <col min="6" max="6" width="17.6328125" style="2" customWidth="1"/>
    <col min="7" max="8" width="15.1796875" style="2" customWidth="1"/>
    <col min="9" max="9" width="18.26953125" style="2" customWidth="1"/>
    <col min="10" max="10" width="21.1796875" style="2" customWidth="1"/>
    <col min="11" max="11" width="25.81640625" style="2" customWidth="1"/>
    <col min="12" max="12" width="20.08984375" style="2" customWidth="1"/>
    <col min="13" max="13" width="28.54296875" style="2" customWidth="1"/>
    <col min="14" max="16384" width="8.90625" style="2"/>
  </cols>
  <sheetData>
    <row r="2" spans="2:14" ht="19" thickBot="1" x14ac:dyDescent="0.4">
      <c r="B2" s="1" t="s">
        <v>0</v>
      </c>
      <c r="C2" s="1"/>
      <c r="D2" s="1"/>
      <c r="E2" s="1"/>
      <c r="F2" s="1"/>
      <c r="G2" s="1"/>
      <c r="H2" s="1"/>
      <c r="I2" s="1"/>
      <c r="J2" s="1"/>
      <c r="K2" s="1"/>
      <c r="L2" s="1"/>
      <c r="M2" s="1"/>
    </row>
    <row r="4" spans="2:14" ht="19" thickBot="1" x14ac:dyDescent="0.4">
      <c r="B4" s="1" t="s">
        <v>1</v>
      </c>
      <c r="C4" s="1"/>
      <c r="D4" s="1"/>
      <c r="E4" s="1"/>
      <c r="F4" s="1"/>
      <c r="G4" s="1"/>
      <c r="H4" s="1"/>
      <c r="I4" s="1"/>
      <c r="J4" s="1"/>
      <c r="K4" s="1"/>
      <c r="L4" s="1"/>
      <c r="M4" s="1"/>
    </row>
    <row r="6" spans="2:14" ht="33.75" customHeight="1" x14ac:dyDescent="0.35">
      <c r="B6" s="12" t="s">
        <v>2</v>
      </c>
      <c r="C6" s="13" t="s">
        <v>3</v>
      </c>
      <c r="D6" s="14" t="s">
        <v>4</v>
      </c>
      <c r="E6" s="13" t="s">
        <v>5</v>
      </c>
      <c r="F6" s="13" t="s">
        <v>6</v>
      </c>
      <c r="G6" s="14" t="s">
        <v>7</v>
      </c>
      <c r="H6" s="14" t="s">
        <v>8</v>
      </c>
      <c r="I6" s="14" t="s">
        <v>9</v>
      </c>
      <c r="J6" s="14" t="s">
        <v>10</v>
      </c>
      <c r="K6" s="14" t="s">
        <v>11</v>
      </c>
      <c r="L6" s="14" t="s">
        <v>12</v>
      </c>
      <c r="M6" s="15" t="s">
        <v>13</v>
      </c>
      <c r="N6" s="14" t="s">
        <v>69</v>
      </c>
    </row>
    <row r="7" spans="2:14" x14ac:dyDescent="0.35">
      <c r="B7" s="10" t="s">
        <v>14</v>
      </c>
      <c r="C7" s="5" t="s">
        <v>15</v>
      </c>
      <c r="D7" s="5">
        <v>19</v>
      </c>
      <c r="E7" s="6">
        <v>32702</v>
      </c>
      <c r="F7" s="5" t="s">
        <v>16</v>
      </c>
      <c r="G7" s="5">
        <v>7</v>
      </c>
      <c r="H7" s="5">
        <v>0</v>
      </c>
      <c r="I7" s="5">
        <v>1</v>
      </c>
      <c r="J7" s="5">
        <v>0.33</v>
      </c>
      <c r="K7" s="5">
        <v>1.17</v>
      </c>
      <c r="L7" s="5">
        <v>1.3</v>
      </c>
      <c r="M7" s="11">
        <v>7.17</v>
      </c>
      <c r="N7" s="20" t="str">
        <f t="shared" ref="N7:N32" ca="1" si="0">IF(DATEDIF(E7, TODAY(), "Y")&lt;25, "&lt;25", IF(DATEDIF(E7, TODAY(), "Y")&lt;=30, "25-30", "&gt;30"))</f>
        <v>&gt;30</v>
      </c>
    </row>
    <row r="8" spans="2:14" x14ac:dyDescent="0.35">
      <c r="B8" s="10" t="s">
        <v>17</v>
      </c>
      <c r="C8" s="5" t="s">
        <v>15</v>
      </c>
      <c r="D8" s="5">
        <v>8</v>
      </c>
      <c r="E8" s="6">
        <v>33313</v>
      </c>
      <c r="F8" s="5" t="s">
        <v>18</v>
      </c>
      <c r="G8" s="5">
        <v>6</v>
      </c>
      <c r="H8" s="5">
        <v>0</v>
      </c>
      <c r="I8" s="5">
        <v>0</v>
      </c>
      <c r="J8" s="5">
        <v>1.45</v>
      </c>
      <c r="K8" s="5">
        <v>0.48</v>
      </c>
      <c r="L8" s="5">
        <v>2.9</v>
      </c>
      <c r="M8" s="11">
        <v>7.97</v>
      </c>
      <c r="N8" s="5" t="str">
        <f t="shared" ca="1" si="0"/>
        <v>&gt;30</v>
      </c>
    </row>
    <row r="9" spans="2:14" x14ac:dyDescent="0.35">
      <c r="B9" s="10" t="s">
        <v>19</v>
      </c>
      <c r="C9" s="5" t="s">
        <v>15</v>
      </c>
      <c r="D9" s="5">
        <v>3</v>
      </c>
      <c r="E9" s="6">
        <v>33364</v>
      </c>
      <c r="F9" s="5" t="s">
        <v>20</v>
      </c>
      <c r="G9" s="5">
        <v>6</v>
      </c>
      <c r="H9" s="5">
        <v>0</v>
      </c>
      <c r="I9" s="5">
        <v>0</v>
      </c>
      <c r="J9" s="5">
        <v>0.48</v>
      </c>
      <c r="K9" s="5">
        <v>2.17</v>
      </c>
      <c r="L9" s="5">
        <v>1.69</v>
      </c>
      <c r="M9" s="11">
        <v>5.07</v>
      </c>
      <c r="N9" s="5" t="str">
        <f t="shared" ca="1" si="0"/>
        <v>&gt;30</v>
      </c>
    </row>
    <row r="10" spans="2:14" x14ac:dyDescent="0.35">
      <c r="B10" s="10" t="s">
        <v>21</v>
      </c>
      <c r="C10" s="5" t="s">
        <v>15</v>
      </c>
      <c r="D10" s="5">
        <v>6</v>
      </c>
      <c r="E10" s="6">
        <v>33294</v>
      </c>
      <c r="F10" s="5" t="s">
        <v>22</v>
      </c>
      <c r="G10" s="5">
        <v>3</v>
      </c>
      <c r="H10" s="5">
        <v>0</v>
      </c>
      <c r="I10" s="5">
        <v>0</v>
      </c>
      <c r="J10" s="5">
        <v>0</v>
      </c>
      <c r="K10" s="5">
        <v>0</v>
      </c>
      <c r="L10" s="5">
        <v>0</v>
      </c>
      <c r="M10" s="11">
        <v>3.16</v>
      </c>
      <c r="N10" s="5" t="str">
        <f t="shared" ca="1" si="0"/>
        <v>&gt;30</v>
      </c>
    </row>
    <row r="11" spans="2:14" x14ac:dyDescent="0.35">
      <c r="B11" s="10" t="s">
        <v>23</v>
      </c>
      <c r="C11" s="5" t="s">
        <v>15</v>
      </c>
      <c r="D11" s="5">
        <v>26</v>
      </c>
      <c r="E11" s="6">
        <v>35837</v>
      </c>
      <c r="F11" s="5" t="s">
        <v>24</v>
      </c>
      <c r="G11" s="5">
        <v>7</v>
      </c>
      <c r="H11" s="5">
        <v>1</v>
      </c>
      <c r="I11" s="5">
        <v>1</v>
      </c>
      <c r="J11" s="5">
        <v>0.32</v>
      </c>
      <c r="K11" s="5">
        <v>0.47</v>
      </c>
      <c r="L11" s="5">
        <v>1.42</v>
      </c>
      <c r="M11" s="11">
        <v>1.58</v>
      </c>
      <c r="N11" s="5" t="str">
        <f t="shared" ca="1" si="0"/>
        <v>25-30</v>
      </c>
    </row>
    <row r="12" spans="2:14" x14ac:dyDescent="0.35">
      <c r="B12" s="10" t="s">
        <v>25</v>
      </c>
      <c r="C12" s="5" t="s">
        <v>15</v>
      </c>
      <c r="D12" s="5">
        <v>4</v>
      </c>
      <c r="E12" s="6">
        <v>35622</v>
      </c>
      <c r="F12" s="5" t="s">
        <v>18</v>
      </c>
      <c r="G12" s="5">
        <v>4</v>
      </c>
      <c r="H12" s="5">
        <v>0</v>
      </c>
      <c r="I12" s="5">
        <v>0</v>
      </c>
      <c r="J12" s="5">
        <v>0.77</v>
      </c>
      <c r="K12" s="5">
        <v>0.77</v>
      </c>
      <c r="L12" s="5">
        <v>2.31</v>
      </c>
      <c r="M12" s="11">
        <v>5.39</v>
      </c>
      <c r="N12" s="5" t="str">
        <f t="shared" ca="1" si="0"/>
        <v>25-30</v>
      </c>
    </row>
    <row r="13" spans="2:14" x14ac:dyDescent="0.35">
      <c r="B13" s="10" t="s">
        <v>26</v>
      </c>
      <c r="C13" s="5" t="s">
        <v>15</v>
      </c>
      <c r="D13" s="5">
        <v>2</v>
      </c>
      <c r="E13" s="6">
        <v>35703</v>
      </c>
      <c r="F13" s="5" t="s">
        <v>27</v>
      </c>
      <c r="G13" s="5">
        <v>1</v>
      </c>
      <c r="H13" s="5">
        <v>0</v>
      </c>
      <c r="I13" s="5">
        <v>0</v>
      </c>
      <c r="J13" s="5">
        <v>0</v>
      </c>
      <c r="K13" s="5">
        <v>0</v>
      </c>
      <c r="L13" s="5">
        <v>0</v>
      </c>
      <c r="M13" s="11">
        <v>0</v>
      </c>
      <c r="N13" s="5" t="str">
        <f t="shared" ca="1" si="0"/>
        <v>25-30</v>
      </c>
    </row>
    <row r="14" spans="2:14" x14ac:dyDescent="0.35">
      <c r="B14" s="10" t="s">
        <v>28</v>
      </c>
      <c r="C14" s="5" t="s">
        <v>15</v>
      </c>
      <c r="D14" s="5">
        <v>13</v>
      </c>
      <c r="E14" s="6">
        <v>35849</v>
      </c>
      <c r="F14" s="5" t="s">
        <v>29</v>
      </c>
      <c r="G14" s="5">
        <v>7</v>
      </c>
      <c r="H14" s="5">
        <v>0</v>
      </c>
      <c r="I14" s="5">
        <v>0</v>
      </c>
      <c r="J14" s="5">
        <v>0.16</v>
      </c>
      <c r="K14" s="5">
        <v>0.49</v>
      </c>
      <c r="L14" s="5">
        <v>0.82</v>
      </c>
      <c r="M14" s="11">
        <v>5.09</v>
      </c>
      <c r="N14" s="5" t="str">
        <f t="shared" ca="1" si="0"/>
        <v>25-30</v>
      </c>
    </row>
    <row r="15" spans="2:14" x14ac:dyDescent="0.35">
      <c r="B15" s="10" t="s">
        <v>30</v>
      </c>
      <c r="C15" s="5" t="s">
        <v>15</v>
      </c>
      <c r="D15" s="5">
        <v>25</v>
      </c>
      <c r="E15" s="6">
        <v>35712</v>
      </c>
      <c r="F15" s="5" t="s">
        <v>31</v>
      </c>
      <c r="G15" s="5">
        <v>5</v>
      </c>
      <c r="H15" s="5">
        <v>0</v>
      </c>
      <c r="I15" s="5">
        <v>0</v>
      </c>
      <c r="J15" s="5">
        <v>0.3</v>
      </c>
      <c r="K15" s="5">
        <v>0.9</v>
      </c>
      <c r="L15" s="5">
        <v>1.5</v>
      </c>
      <c r="M15" s="11">
        <v>4.1900000000000004</v>
      </c>
      <c r="N15" s="5" t="str">
        <f t="shared" ca="1" si="0"/>
        <v>25-30</v>
      </c>
    </row>
    <row r="16" spans="2:14" x14ac:dyDescent="0.35">
      <c r="B16" s="10" t="s">
        <v>32</v>
      </c>
      <c r="C16" s="5" t="s">
        <v>33</v>
      </c>
      <c r="D16" s="5">
        <v>5</v>
      </c>
      <c r="E16" s="6">
        <v>33872</v>
      </c>
      <c r="F16" s="5" t="s">
        <v>34</v>
      </c>
      <c r="G16" s="5">
        <v>5</v>
      </c>
      <c r="H16" s="5">
        <v>0</v>
      </c>
      <c r="I16" s="5">
        <v>0</v>
      </c>
      <c r="J16" s="5">
        <v>0.4</v>
      </c>
      <c r="K16" s="5">
        <v>1.21</v>
      </c>
      <c r="L16" s="5">
        <v>4.0199999999999996</v>
      </c>
      <c r="M16" s="11">
        <v>9.24</v>
      </c>
      <c r="N16" s="5" t="str">
        <f t="shared" ca="1" si="0"/>
        <v>&gt;30</v>
      </c>
    </row>
    <row r="17" spans="2:14" x14ac:dyDescent="0.35">
      <c r="B17" s="10" t="s">
        <v>35</v>
      </c>
      <c r="C17" s="5" t="s">
        <v>33</v>
      </c>
      <c r="D17" s="5">
        <v>7</v>
      </c>
      <c r="E17" s="6">
        <v>33772</v>
      </c>
      <c r="F17" s="5" t="s">
        <v>24</v>
      </c>
      <c r="G17" s="5">
        <v>7</v>
      </c>
      <c r="H17" s="5">
        <v>0</v>
      </c>
      <c r="I17" s="5">
        <v>0</v>
      </c>
      <c r="J17" s="5">
        <v>0.6</v>
      </c>
      <c r="K17" s="5">
        <v>1.05</v>
      </c>
      <c r="L17" s="5">
        <v>1.79</v>
      </c>
      <c r="M17" s="11">
        <v>4.6399999999999997</v>
      </c>
      <c r="N17" s="5" t="str">
        <f t="shared" ca="1" si="0"/>
        <v>&gt;30</v>
      </c>
    </row>
    <row r="18" spans="2:14" x14ac:dyDescent="0.35">
      <c r="B18" s="10" t="s">
        <v>36</v>
      </c>
      <c r="C18" s="5" t="s">
        <v>33</v>
      </c>
      <c r="D18" s="5">
        <v>18</v>
      </c>
      <c r="E18" s="6">
        <v>33742</v>
      </c>
      <c r="F18" s="5" t="s">
        <v>22</v>
      </c>
      <c r="G18" s="5">
        <v>1</v>
      </c>
      <c r="H18" s="5">
        <v>0</v>
      </c>
      <c r="I18" s="5">
        <v>0</v>
      </c>
      <c r="J18" s="5">
        <v>0</v>
      </c>
      <c r="K18" s="5">
        <v>0</v>
      </c>
      <c r="L18" s="5">
        <v>3.16</v>
      </c>
      <c r="M18" s="11">
        <v>6.32</v>
      </c>
      <c r="N18" s="5" t="str">
        <f t="shared" ca="1" si="0"/>
        <v>&gt;30</v>
      </c>
    </row>
    <row r="19" spans="2:14" x14ac:dyDescent="0.35">
      <c r="B19" s="10" t="s">
        <v>37</v>
      </c>
      <c r="C19" s="5" t="s">
        <v>33</v>
      </c>
      <c r="D19" s="5">
        <v>14</v>
      </c>
      <c r="E19" s="6">
        <v>35977</v>
      </c>
      <c r="F19" s="5" t="s">
        <v>38</v>
      </c>
      <c r="G19" s="5">
        <v>3</v>
      </c>
      <c r="H19" s="5">
        <v>0</v>
      </c>
      <c r="I19" s="5">
        <v>0</v>
      </c>
      <c r="J19" s="5">
        <v>0</v>
      </c>
      <c r="K19" s="5">
        <v>3.83</v>
      </c>
      <c r="L19" s="5">
        <v>1.91</v>
      </c>
      <c r="M19" s="11">
        <v>7.66</v>
      </c>
      <c r="N19" s="5" t="str">
        <f t="shared" ca="1" si="0"/>
        <v>25-30</v>
      </c>
    </row>
    <row r="20" spans="2:14" x14ac:dyDescent="0.35">
      <c r="B20" s="10" t="s">
        <v>39</v>
      </c>
      <c r="C20" s="5" t="s">
        <v>33</v>
      </c>
      <c r="D20" s="5">
        <v>20</v>
      </c>
      <c r="E20" s="6">
        <v>35999</v>
      </c>
      <c r="F20" s="5" t="s">
        <v>40</v>
      </c>
      <c r="G20" s="5">
        <v>6</v>
      </c>
      <c r="H20" s="5">
        <v>1</v>
      </c>
      <c r="I20" s="5">
        <v>1</v>
      </c>
      <c r="J20" s="5">
        <v>0.97</v>
      </c>
      <c r="K20" s="5">
        <v>0.49</v>
      </c>
      <c r="L20" s="5">
        <v>1.46</v>
      </c>
      <c r="M20" s="11">
        <v>5.85</v>
      </c>
      <c r="N20" s="5" t="str">
        <f t="shared" ca="1" si="0"/>
        <v>25-30</v>
      </c>
    </row>
    <row r="21" spans="2:14" x14ac:dyDescent="0.35">
      <c r="B21" s="10" t="s">
        <v>41</v>
      </c>
      <c r="C21" s="5" t="s">
        <v>33</v>
      </c>
      <c r="D21" s="5">
        <v>24</v>
      </c>
      <c r="E21" s="6">
        <v>36957</v>
      </c>
      <c r="F21" s="5" t="s">
        <v>16</v>
      </c>
      <c r="G21" s="5">
        <v>7</v>
      </c>
      <c r="H21" s="5">
        <v>1</v>
      </c>
      <c r="I21" s="5">
        <v>1</v>
      </c>
      <c r="J21" s="5">
        <v>0.8</v>
      </c>
      <c r="K21" s="5">
        <v>0.48</v>
      </c>
      <c r="L21" s="5">
        <v>3.52</v>
      </c>
      <c r="M21" s="11">
        <v>7.83</v>
      </c>
      <c r="N21" s="5" t="str">
        <f t="shared" ca="1" si="0"/>
        <v>&lt;25</v>
      </c>
    </row>
    <row r="22" spans="2:14" x14ac:dyDescent="0.35">
      <c r="B22" s="10" t="s">
        <v>42</v>
      </c>
      <c r="C22" s="5" t="s">
        <v>33</v>
      </c>
      <c r="D22" s="5">
        <v>17</v>
      </c>
      <c r="E22" s="6">
        <v>36976</v>
      </c>
      <c r="F22" s="5" t="s">
        <v>43</v>
      </c>
      <c r="G22" s="5">
        <v>2</v>
      </c>
      <c r="H22" s="5">
        <v>0</v>
      </c>
      <c r="I22" s="5">
        <v>0</v>
      </c>
      <c r="J22" s="5">
        <v>0.83</v>
      </c>
      <c r="K22" s="5">
        <v>0.83</v>
      </c>
      <c r="L22" s="5">
        <v>1.65</v>
      </c>
      <c r="M22" s="11">
        <v>8.26</v>
      </c>
      <c r="N22" s="5" t="str">
        <f t="shared" ca="1" si="0"/>
        <v>&lt;25</v>
      </c>
    </row>
    <row r="23" spans="2:14" x14ac:dyDescent="0.35">
      <c r="B23" s="10" t="s">
        <v>44</v>
      </c>
      <c r="C23" s="5" t="s">
        <v>45</v>
      </c>
      <c r="D23" s="5">
        <v>10</v>
      </c>
      <c r="E23" s="6">
        <v>31790</v>
      </c>
      <c r="F23" s="5" t="s">
        <v>46</v>
      </c>
      <c r="G23" s="5">
        <v>7</v>
      </c>
      <c r="H23" s="5">
        <v>7</v>
      </c>
      <c r="I23" s="5">
        <v>3</v>
      </c>
      <c r="J23" s="5">
        <v>3.78</v>
      </c>
      <c r="K23" s="5">
        <v>0</v>
      </c>
      <c r="L23" s="5">
        <v>0.65</v>
      </c>
      <c r="M23" s="11">
        <v>6.39</v>
      </c>
      <c r="N23" s="5" t="str">
        <f t="shared" ca="1" si="0"/>
        <v>&gt;30</v>
      </c>
    </row>
    <row r="24" spans="2:14" x14ac:dyDescent="0.35">
      <c r="B24" s="10" t="s">
        <v>47</v>
      </c>
      <c r="C24" s="5" t="s">
        <v>45</v>
      </c>
      <c r="D24" s="5">
        <v>22</v>
      </c>
      <c r="E24" s="6">
        <v>35897</v>
      </c>
      <c r="F24" s="5" t="s">
        <v>48</v>
      </c>
      <c r="G24" s="5">
        <v>6</v>
      </c>
      <c r="H24" s="5">
        <v>0</v>
      </c>
      <c r="I24" s="5">
        <v>0</v>
      </c>
      <c r="J24" s="5">
        <v>1.89</v>
      </c>
      <c r="K24" s="5">
        <v>0.38</v>
      </c>
      <c r="L24" s="5">
        <v>0</v>
      </c>
      <c r="M24" s="11">
        <v>6.81</v>
      </c>
      <c r="N24" s="5" t="str">
        <f t="shared" ca="1" si="0"/>
        <v>25-30</v>
      </c>
    </row>
    <row r="25" spans="2:14" x14ac:dyDescent="0.35">
      <c r="B25" s="10" t="s">
        <v>49</v>
      </c>
      <c r="C25" s="5" t="s">
        <v>45</v>
      </c>
      <c r="D25" s="5">
        <v>21</v>
      </c>
      <c r="E25" s="6">
        <v>33337</v>
      </c>
      <c r="F25" s="5" t="s">
        <v>50</v>
      </c>
      <c r="G25" s="5">
        <v>2</v>
      </c>
      <c r="H25" s="5">
        <v>0</v>
      </c>
      <c r="I25" s="5">
        <v>0</v>
      </c>
      <c r="J25" s="5">
        <v>5.62</v>
      </c>
      <c r="K25" s="5">
        <v>0</v>
      </c>
      <c r="L25" s="5">
        <v>0</v>
      </c>
      <c r="M25" s="11">
        <v>0</v>
      </c>
      <c r="N25" s="5" t="str">
        <f t="shared" ca="1" si="0"/>
        <v>&gt;30</v>
      </c>
    </row>
    <row r="26" spans="2:14" x14ac:dyDescent="0.35">
      <c r="B26" s="10" t="s">
        <v>51</v>
      </c>
      <c r="C26" s="5" t="s">
        <v>45</v>
      </c>
      <c r="D26" s="5">
        <v>16</v>
      </c>
      <c r="E26" s="6">
        <v>36976</v>
      </c>
      <c r="F26" s="5" t="s">
        <v>48</v>
      </c>
      <c r="G26" s="5">
        <v>1</v>
      </c>
      <c r="H26" s="5">
        <v>0</v>
      </c>
      <c r="I26" s="5">
        <v>0</v>
      </c>
      <c r="J26" s="5">
        <v>0</v>
      </c>
      <c r="K26" s="5">
        <v>0</v>
      </c>
      <c r="L26" s="5">
        <v>0</v>
      </c>
      <c r="M26" s="11">
        <v>0</v>
      </c>
      <c r="N26" s="5" t="str">
        <f t="shared" ca="1" si="0"/>
        <v>&lt;25</v>
      </c>
    </row>
    <row r="27" spans="2:14" x14ac:dyDescent="0.35">
      <c r="B27" s="10" t="s">
        <v>52</v>
      </c>
      <c r="C27" s="5" t="s">
        <v>45</v>
      </c>
      <c r="D27" s="5">
        <v>9</v>
      </c>
      <c r="E27" s="6">
        <v>36566</v>
      </c>
      <c r="F27" s="5" t="s">
        <v>53</v>
      </c>
      <c r="G27" s="5">
        <v>7</v>
      </c>
      <c r="H27" s="5">
        <v>4</v>
      </c>
      <c r="I27" s="5">
        <v>0</v>
      </c>
      <c r="J27" s="5">
        <v>0.57999999999999996</v>
      </c>
      <c r="K27" s="5">
        <v>0</v>
      </c>
      <c r="L27" s="5">
        <v>0.77</v>
      </c>
      <c r="M27" s="11">
        <v>1.93</v>
      </c>
      <c r="N27" s="5" t="str">
        <f t="shared" ca="1" si="0"/>
        <v>25-30</v>
      </c>
    </row>
    <row r="28" spans="2:14" x14ac:dyDescent="0.35">
      <c r="B28" s="10" t="s">
        <v>54</v>
      </c>
      <c r="C28" s="5" t="s">
        <v>45</v>
      </c>
      <c r="D28" s="5">
        <v>11</v>
      </c>
      <c r="E28" s="6">
        <v>32705</v>
      </c>
      <c r="F28" s="5" t="s">
        <v>34</v>
      </c>
      <c r="G28" s="5">
        <v>5</v>
      </c>
      <c r="H28" s="5">
        <v>1</v>
      </c>
      <c r="I28" s="5">
        <v>1</v>
      </c>
      <c r="J28" s="5">
        <v>6.83</v>
      </c>
      <c r="K28" s="5">
        <v>0.31</v>
      </c>
      <c r="L28" s="5">
        <v>0.93</v>
      </c>
      <c r="M28" s="11">
        <v>7.14</v>
      </c>
      <c r="N28" s="5" t="str">
        <f t="shared" ca="1" si="0"/>
        <v>&gt;30</v>
      </c>
    </row>
    <row r="29" spans="2:14" x14ac:dyDescent="0.35">
      <c r="B29" s="10" t="s">
        <v>55</v>
      </c>
      <c r="C29" s="5" t="s">
        <v>45</v>
      </c>
      <c r="D29" s="5">
        <v>15</v>
      </c>
      <c r="E29" s="6">
        <v>34908</v>
      </c>
      <c r="F29" s="5" t="s">
        <v>24</v>
      </c>
      <c r="G29" s="5">
        <v>1</v>
      </c>
      <c r="H29" s="5">
        <v>0</v>
      </c>
      <c r="I29" s="5">
        <v>0</v>
      </c>
      <c r="J29" s="5">
        <v>0</v>
      </c>
      <c r="K29" s="5">
        <v>0</v>
      </c>
      <c r="L29" s="5">
        <v>0</v>
      </c>
      <c r="M29" s="11">
        <v>0</v>
      </c>
      <c r="N29" s="5" t="str">
        <f t="shared" ca="1" si="0"/>
        <v>25-30</v>
      </c>
    </row>
    <row r="30" spans="2:14" x14ac:dyDescent="0.35">
      <c r="B30" s="10" t="s">
        <v>56</v>
      </c>
      <c r="C30" s="5" t="s">
        <v>57</v>
      </c>
      <c r="D30" s="5">
        <v>23</v>
      </c>
      <c r="E30" s="6">
        <v>33365</v>
      </c>
      <c r="F30" s="5" t="s">
        <v>58</v>
      </c>
      <c r="G30" s="5">
        <v>7</v>
      </c>
      <c r="H30" s="5">
        <v>0</v>
      </c>
      <c r="I30" s="5">
        <v>0</v>
      </c>
      <c r="J30" s="5">
        <v>0</v>
      </c>
      <c r="K30" s="5">
        <v>0</v>
      </c>
      <c r="L30" s="5">
        <v>0</v>
      </c>
      <c r="M30" s="11">
        <v>0.65</v>
      </c>
      <c r="N30" s="5" t="str">
        <f t="shared" ca="1" si="0"/>
        <v>&gt;30</v>
      </c>
    </row>
    <row r="31" spans="2:14" x14ac:dyDescent="0.35">
      <c r="B31" s="10" t="s">
        <v>59</v>
      </c>
      <c r="C31" s="5" t="s">
        <v>57</v>
      </c>
      <c r="D31" s="5">
        <v>1</v>
      </c>
      <c r="E31" s="6">
        <v>31926</v>
      </c>
      <c r="F31" s="5" t="s">
        <v>60</v>
      </c>
      <c r="G31" s="5">
        <v>0</v>
      </c>
      <c r="H31" s="5">
        <v>0</v>
      </c>
      <c r="I31" s="5">
        <v>0</v>
      </c>
      <c r="J31" s="5">
        <v>0</v>
      </c>
      <c r="K31" s="5">
        <v>0</v>
      </c>
      <c r="L31" s="5">
        <v>0</v>
      </c>
      <c r="M31" s="11">
        <v>0</v>
      </c>
      <c r="N31" s="5" t="str">
        <f t="shared" ca="1" si="0"/>
        <v>&gt;30</v>
      </c>
    </row>
    <row r="32" spans="2:14" x14ac:dyDescent="0.35">
      <c r="B32" s="16" t="s">
        <v>61</v>
      </c>
      <c r="C32" s="17" t="s">
        <v>57</v>
      </c>
      <c r="D32" s="17">
        <v>12</v>
      </c>
      <c r="E32" s="18">
        <v>33434</v>
      </c>
      <c r="F32" s="17" t="s">
        <v>27</v>
      </c>
      <c r="G32" s="17">
        <v>0</v>
      </c>
      <c r="H32" s="17">
        <v>0</v>
      </c>
      <c r="I32" s="17">
        <v>0</v>
      </c>
      <c r="J32" s="17">
        <v>0</v>
      </c>
      <c r="K32" s="17">
        <v>0</v>
      </c>
      <c r="L32" s="17">
        <v>0</v>
      </c>
      <c r="M32" s="19">
        <v>0</v>
      </c>
      <c r="N32" s="17" t="str">
        <f t="shared" ca="1" si="0"/>
        <v>&gt;30</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5FFE9E-0718-456D-838B-7F24185CE1D8}">
  <dimension ref="A1:F27"/>
  <sheetViews>
    <sheetView zoomScale="85" zoomScaleNormal="85" workbookViewId="0">
      <selection activeCell="D7" sqref="D7"/>
    </sheetView>
  </sheetViews>
  <sheetFormatPr defaultRowHeight="14.5" x14ac:dyDescent="0.35"/>
  <cols>
    <col min="1" max="1" width="16" bestFit="1" customWidth="1"/>
    <col min="2" max="2" width="18.08984375" bestFit="1" customWidth="1"/>
    <col min="3" max="3" width="30.1796875" bestFit="1" customWidth="1"/>
    <col min="4" max="4" width="24.90625" bestFit="1" customWidth="1"/>
    <col min="5" max="5" width="15.6328125" bestFit="1" customWidth="1"/>
    <col min="6" max="6" width="27.7265625" bestFit="1" customWidth="1"/>
  </cols>
  <sheetData>
    <row r="1" spans="1:6" x14ac:dyDescent="0.35">
      <c r="A1" s="8" t="s">
        <v>2</v>
      </c>
      <c r="B1" s="8" t="s">
        <v>62</v>
      </c>
      <c r="C1" s="8" t="s">
        <v>67</v>
      </c>
      <c r="D1" s="8" t="s">
        <v>63</v>
      </c>
      <c r="E1" s="8" t="s">
        <v>64</v>
      </c>
      <c r="F1" s="8" t="s">
        <v>65</v>
      </c>
    </row>
    <row r="2" spans="1:6" x14ac:dyDescent="0.35">
      <c r="A2" s="5" t="s">
        <v>14</v>
      </c>
      <c r="B2">
        <f>SUM(Dataset!H7:H32)</f>
        <v>15</v>
      </c>
      <c r="C2" s="7">
        <f>AVERAGE(Dataset!K7:K32)</f>
        <v>0.57807692307692315</v>
      </c>
      <c r="D2">
        <f>COUNT(Dataset!G7:G32)</f>
        <v>26</v>
      </c>
      <c r="E2" t="str" cm="1">
        <f t="array" ref="E2:E27">IF(Dataset!K7:K32&gt;2, "High Interceptions", "Low Interceptions")</f>
        <v>Low Interceptions</v>
      </c>
      <c r="F2" cm="1">
        <f t="array" ref="F2">MEDIAN(IF(Dataset!C7:C32="MF", Dataset!L7:L32))</f>
        <v>1.91</v>
      </c>
    </row>
    <row r="3" spans="1:6" x14ac:dyDescent="0.35">
      <c r="A3" s="5" t="s">
        <v>17</v>
      </c>
      <c r="E3" t="str">
        <v>Low Interceptions</v>
      </c>
    </row>
    <row r="4" spans="1:6" x14ac:dyDescent="0.35">
      <c r="A4" s="5" t="s">
        <v>19</v>
      </c>
      <c r="E4" t="str">
        <v>High Interceptions</v>
      </c>
    </row>
    <row r="5" spans="1:6" x14ac:dyDescent="0.35">
      <c r="A5" s="5" t="s">
        <v>21</v>
      </c>
      <c r="E5" t="str">
        <v>Low Interceptions</v>
      </c>
    </row>
    <row r="6" spans="1:6" x14ac:dyDescent="0.35">
      <c r="A6" s="5" t="s">
        <v>23</v>
      </c>
      <c r="E6" t="str">
        <v>Low Interceptions</v>
      </c>
    </row>
    <row r="7" spans="1:6" x14ac:dyDescent="0.35">
      <c r="A7" s="5" t="s">
        <v>25</v>
      </c>
      <c r="E7" t="str">
        <v>Low Interceptions</v>
      </c>
    </row>
    <row r="8" spans="1:6" x14ac:dyDescent="0.35">
      <c r="A8" s="5" t="s">
        <v>26</v>
      </c>
      <c r="E8" t="str">
        <v>Low Interceptions</v>
      </c>
    </row>
    <row r="9" spans="1:6" x14ac:dyDescent="0.35">
      <c r="A9" s="5" t="s">
        <v>28</v>
      </c>
      <c r="E9" t="str">
        <v>Low Interceptions</v>
      </c>
    </row>
    <row r="10" spans="1:6" x14ac:dyDescent="0.35">
      <c r="A10" s="5" t="s">
        <v>30</v>
      </c>
      <c r="E10" t="str">
        <v>Low Interceptions</v>
      </c>
    </row>
    <row r="11" spans="1:6" x14ac:dyDescent="0.35">
      <c r="A11" s="5" t="s">
        <v>32</v>
      </c>
      <c r="E11" t="str">
        <v>Low Interceptions</v>
      </c>
    </row>
    <row r="12" spans="1:6" x14ac:dyDescent="0.35">
      <c r="A12" s="5" t="s">
        <v>35</v>
      </c>
      <c r="E12" t="str">
        <v>Low Interceptions</v>
      </c>
    </row>
    <row r="13" spans="1:6" x14ac:dyDescent="0.35">
      <c r="A13" s="5" t="s">
        <v>36</v>
      </c>
      <c r="E13" t="str">
        <v>Low Interceptions</v>
      </c>
    </row>
    <row r="14" spans="1:6" x14ac:dyDescent="0.35">
      <c r="A14" s="5" t="s">
        <v>37</v>
      </c>
      <c r="E14" t="str">
        <v>High Interceptions</v>
      </c>
    </row>
    <row r="15" spans="1:6" x14ac:dyDescent="0.35">
      <c r="A15" s="5" t="s">
        <v>39</v>
      </c>
      <c r="E15" t="str">
        <v>Low Interceptions</v>
      </c>
    </row>
    <row r="16" spans="1:6" x14ac:dyDescent="0.35">
      <c r="A16" s="5" t="s">
        <v>41</v>
      </c>
      <c r="E16" t="str">
        <v>Low Interceptions</v>
      </c>
    </row>
    <row r="17" spans="1:5" x14ac:dyDescent="0.35">
      <c r="A17" s="5" t="s">
        <v>42</v>
      </c>
      <c r="E17" t="str">
        <v>Low Interceptions</v>
      </c>
    </row>
    <row r="18" spans="1:5" x14ac:dyDescent="0.35">
      <c r="A18" s="5" t="s">
        <v>44</v>
      </c>
      <c r="E18" t="str">
        <v>Low Interceptions</v>
      </c>
    </row>
    <row r="19" spans="1:5" x14ac:dyDescent="0.35">
      <c r="A19" s="5" t="s">
        <v>47</v>
      </c>
      <c r="E19" t="str">
        <v>Low Interceptions</v>
      </c>
    </row>
    <row r="20" spans="1:5" x14ac:dyDescent="0.35">
      <c r="A20" s="5" t="s">
        <v>49</v>
      </c>
      <c r="E20" t="str">
        <v>Low Interceptions</v>
      </c>
    </row>
    <row r="21" spans="1:5" x14ac:dyDescent="0.35">
      <c r="A21" s="5" t="s">
        <v>51</v>
      </c>
      <c r="E21" t="str">
        <v>Low Interceptions</v>
      </c>
    </row>
    <row r="22" spans="1:5" x14ac:dyDescent="0.35">
      <c r="A22" s="5" t="s">
        <v>52</v>
      </c>
      <c r="E22" t="str">
        <v>Low Interceptions</v>
      </c>
    </row>
    <row r="23" spans="1:5" x14ac:dyDescent="0.35">
      <c r="A23" s="5" t="s">
        <v>54</v>
      </c>
      <c r="E23" t="str">
        <v>Low Interceptions</v>
      </c>
    </row>
    <row r="24" spans="1:5" x14ac:dyDescent="0.35">
      <c r="A24" s="5" t="s">
        <v>55</v>
      </c>
      <c r="E24" t="str">
        <v>Low Interceptions</v>
      </c>
    </row>
    <row r="25" spans="1:5" x14ac:dyDescent="0.35">
      <c r="A25" s="5" t="s">
        <v>56</v>
      </c>
      <c r="E25" t="str">
        <v>Low Interceptions</v>
      </c>
    </row>
    <row r="26" spans="1:5" x14ac:dyDescent="0.35">
      <c r="A26" s="5" t="s">
        <v>59</v>
      </c>
      <c r="E26" t="str">
        <v>Low Interceptions</v>
      </c>
    </row>
    <row r="27" spans="1:5" x14ac:dyDescent="0.35">
      <c r="A27" s="5" t="s">
        <v>61</v>
      </c>
      <c r="E27" t="str">
        <v>Low Interceptions</v>
      </c>
    </row>
  </sheetData>
  <conditionalFormatting sqref="E1:E1048576">
    <cfRule type="containsText" dxfId="1" priority="1" operator="containsText" text="High Interceptions">
      <formula>NOT(ISERROR(SEARCH("High Interceptions",E1)))</formula>
    </cfRule>
    <cfRule type="containsText" dxfId="0" priority="2" operator="containsText" text="Low Interceptions">
      <formula>NOT(ISERROR(SEARCH("Low Interceptions",E1)))</formula>
    </cfRule>
    <cfRule type="colorScale" priority="3">
      <colorScale>
        <cfvo type="min"/>
        <cfvo type="percentile" val="50"/>
        <cfvo type="max"/>
        <color rgb="FFF8696B"/>
        <color rgb="FFFFEB84"/>
        <color rgb="FF63BE7B"/>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0D71CB-68F6-4268-B778-3CA273212B6C}">
  <dimension ref="A1:L28"/>
  <sheetViews>
    <sheetView showGridLines="0" zoomScale="70" zoomScaleNormal="70" workbookViewId="0">
      <selection activeCell="E1" sqref="E1"/>
    </sheetView>
  </sheetViews>
  <sheetFormatPr defaultRowHeight="14.5" x14ac:dyDescent="0.35"/>
  <cols>
    <col min="1" max="1" width="17.54296875" bestFit="1" customWidth="1"/>
    <col min="2" max="2" width="12.81640625" bestFit="1" customWidth="1"/>
    <col min="3" max="3" width="19.08984375" bestFit="1" customWidth="1"/>
    <col min="4" max="4" width="15.54296875" bestFit="1" customWidth="1"/>
    <col min="5" max="5" width="16.81640625" bestFit="1" customWidth="1"/>
    <col min="6" max="6" width="17.81640625" bestFit="1" customWidth="1"/>
    <col min="7" max="7" width="17.08984375" bestFit="1" customWidth="1"/>
    <col min="8" max="8" width="20.36328125" bestFit="1" customWidth="1"/>
    <col min="9" max="10" width="23.453125" bestFit="1" customWidth="1"/>
    <col min="11" max="11" width="22.54296875" bestFit="1" customWidth="1"/>
    <col min="12" max="12" width="31" bestFit="1" customWidth="1"/>
  </cols>
  <sheetData>
    <row r="1" spans="1:12" ht="33" customHeight="1" x14ac:dyDescent="0.35">
      <c r="A1" s="22" t="s">
        <v>66</v>
      </c>
      <c r="B1" s="22"/>
      <c r="C1" s="22"/>
    </row>
    <row r="2" spans="1:12" ht="24" customHeight="1" x14ac:dyDescent="0.35">
      <c r="A2" s="3" t="s">
        <v>2</v>
      </c>
      <c r="B2" s="3" t="s">
        <v>3</v>
      </c>
      <c r="C2" s="4" t="s">
        <v>4</v>
      </c>
      <c r="D2" s="3" t="s">
        <v>5</v>
      </c>
      <c r="E2" s="3" t="s">
        <v>6</v>
      </c>
      <c r="F2" s="4" t="s">
        <v>7</v>
      </c>
      <c r="G2" s="4" t="s">
        <v>8</v>
      </c>
      <c r="H2" s="4" t="s">
        <v>9</v>
      </c>
      <c r="I2" s="4" t="s">
        <v>10</v>
      </c>
      <c r="J2" s="4" t="s">
        <v>11</v>
      </c>
      <c r="K2" s="4" t="s">
        <v>12</v>
      </c>
      <c r="L2" s="4" t="s">
        <v>13</v>
      </c>
    </row>
    <row r="3" spans="1:12" x14ac:dyDescent="0.35">
      <c r="A3" s="5" t="s">
        <v>14</v>
      </c>
      <c r="B3" s="5" t="s">
        <v>15</v>
      </c>
      <c r="C3" s="5">
        <v>19</v>
      </c>
      <c r="D3" s="6">
        <v>32702</v>
      </c>
      <c r="E3" s="5" t="s">
        <v>16</v>
      </c>
      <c r="F3" s="5">
        <v>7</v>
      </c>
      <c r="G3" s="5">
        <v>0</v>
      </c>
      <c r="H3" s="5">
        <v>1</v>
      </c>
      <c r="I3" s="5">
        <v>0.33</v>
      </c>
      <c r="J3" s="5">
        <v>1.17</v>
      </c>
      <c r="K3" s="5">
        <v>1.3</v>
      </c>
      <c r="L3" s="5">
        <v>7.17</v>
      </c>
    </row>
    <row r="4" spans="1:12" x14ac:dyDescent="0.35">
      <c r="A4" s="5" t="s">
        <v>23</v>
      </c>
      <c r="B4" s="5" t="s">
        <v>15</v>
      </c>
      <c r="C4" s="5">
        <v>26</v>
      </c>
      <c r="D4" s="6">
        <v>35837</v>
      </c>
      <c r="E4" s="5" t="s">
        <v>24</v>
      </c>
      <c r="F4" s="5">
        <v>7</v>
      </c>
      <c r="G4" s="5">
        <v>1</v>
      </c>
      <c r="H4" s="5">
        <v>1</v>
      </c>
      <c r="I4" s="5">
        <v>0.32</v>
      </c>
      <c r="J4" s="5">
        <v>0.47</v>
      </c>
      <c r="K4" s="5">
        <v>1.42</v>
      </c>
      <c r="L4" s="5">
        <v>1.58</v>
      </c>
    </row>
    <row r="5" spans="1:12" x14ac:dyDescent="0.35">
      <c r="A5" s="5" t="s">
        <v>28</v>
      </c>
      <c r="B5" s="5" t="s">
        <v>15</v>
      </c>
      <c r="C5" s="5">
        <v>13</v>
      </c>
      <c r="D5" s="6">
        <v>35849</v>
      </c>
      <c r="E5" s="5" t="s">
        <v>29</v>
      </c>
      <c r="F5" s="5">
        <v>7</v>
      </c>
      <c r="G5" s="5">
        <v>0</v>
      </c>
      <c r="H5" s="5">
        <v>0</v>
      </c>
      <c r="I5" s="5">
        <v>0.16</v>
      </c>
      <c r="J5" s="5">
        <v>0.49</v>
      </c>
      <c r="K5" s="5">
        <v>0.82</v>
      </c>
      <c r="L5" s="5">
        <v>5.09</v>
      </c>
    </row>
    <row r="6" spans="1:12" x14ac:dyDescent="0.35">
      <c r="A6" s="5" t="s">
        <v>35</v>
      </c>
      <c r="B6" s="5" t="s">
        <v>33</v>
      </c>
      <c r="C6" s="5">
        <v>7</v>
      </c>
      <c r="D6" s="6">
        <v>33772</v>
      </c>
      <c r="E6" s="5" t="s">
        <v>24</v>
      </c>
      <c r="F6" s="5">
        <v>7</v>
      </c>
      <c r="G6" s="5">
        <v>0</v>
      </c>
      <c r="H6" s="5">
        <v>0</v>
      </c>
      <c r="I6" s="5">
        <v>0.6</v>
      </c>
      <c r="J6" s="5">
        <v>1.05</v>
      </c>
      <c r="K6" s="5">
        <v>1.79</v>
      </c>
      <c r="L6" s="5">
        <v>4.6399999999999997</v>
      </c>
    </row>
    <row r="7" spans="1:12" x14ac:dyDescent="0.35">
      <c r="A7" s="5" t="s">
        <v>41</v>
      </c>
      <c r="B7" s="5" t="s">
        <v>33</v>
      </c>
      <c r="C7" s="5">
        <v>24</v>
      </c>
      <c r="D7" s="6">
        <v>36957</v>
      </c>
      <c r="E7" s="5" t="s">
        <v>16</v>
      </c>
      <c r="F7" s="5">
        <v>7</v>
      </c>
      <c r="G7" s="5">
        <v>1</v>
      </c>
      <c r="H7" s="5">
        <v>1</v>
      </c>
      <c r="I7" s="5">
        <v>0.8</v>
      </c>
      <c r="J7" s="5">
        <v>0.48</v>
      </c>
      <c r="K7" s="5">
        <v>3.52</v>
      </c>
      <c r="L7" s="5">
        <v>7.83</v>
      </c>
    </row>
    <row r="8" spans="1:12" x14ac:dyDescent="0.35">
      <c r="A8" s="5" t="s">
        <v>44</v>
      </c>
      <c r="B8" s="5" t="s">
        <v>45</v>
      </c>
      <c r="C8" s="5">
        <v>10</v>
      </c>
      <c r="D8" s="6">
        <v>31790</v>
      </c>
      <c r="E8" s="5" t="s">
        <v>46</v>
      </c>
      <c r="F8" s="5">
        <v>7</v>
      </c>
      <c r="G8" s="5">
        <v>7</v>
      </c>
      <c r="H8" s="5">
        <v>3</v>
      </c>
      <c r="I8" s="5">
        <v>3.78</v>
      </c>
      <c r="J8" s="5">
        <v>0</v>
      </c>
      <c r="K8" s="5">
        <v>0.65</v>
      </c>
      <c r="L8" s="5">
        <v>6.39</v>
      </c>
    </row>
    <row r="9" spans="1:12" x14ac:dyDescent="0.35">
      <c r="A9" s="5" t="s">
        <v>52</v>
      </c>
      <c r="B9" s="5" t="s">
        <v>45</v>
      </c>
      <c r="C9" s="5">
        <v>9</v>
      </c>
      <c r="D9" s="6">
        <v>36566</v>
      </c>
      <c r="E9" s="5" t="s">
        <v>53</v>
      </c>
      <c r="F9" s="5">
        <v>7</v>
      </c>
      <c r="G9" s="5">
        <v>4</v>
      </c>
      <c r="H9" s="5">
        <v>0</v>
      </c>
      <c r="I9" s="5">
        <v>0.57999999999999996</v>
      </c>
      <c r="J9" s="5">
        <v>0</v>
      </c>
      <c r="K9" s="5">
        <v>0.77</v>
      </c>
      <c r="L9" s="5">
        <v>1.93</v>
      </c>
    </row>
    <row r="10" spans="1:12" x14ac:dyDescent="0.35">
      <c r="A10" s="5" t="s">
        <v>56</v>
      </c>
      <c r="B10" s="5" t="s">
        <v>57</v>
      </c>
      <c r="C10" s="5">
        <v>23</v>
      </c>
      <c r="D10" s="6">
        <v>33365</v>
      </c>
      <c r="E10" s="5" t="s">
        <v>58</v>
      </c>
      <c r="F10" s="5">
        <v>7</v>
      </c>
      <c r="G10" s="5">
        <v>0</v>
      </c>
      <c r="H10" s="5">
        <v>0</v>
      </c>
      <c r="I10" s="5">
        <v>0</v>
      </c>
      <c r="J10" s="5">
        <v>0</v>
      </c>
      <c r="K10" s="5">
        <v>0</v>
      </c>
      <c r="L10" s="5">
        <v>0.65</v>
      </c>
    </row>
    <row r="11" spans="1:12" x14ac:dyDescent="0.35">
      <c r="A11" s="5" t="s">
        <v>17</v>
      </c>
      <c r="B11" s="5" t="s">
        <v>15</v>
      </c>
      <c r="C11" s="5">
        <v>8</v>
      </c>
      <c r="D11" s="6">
        <v>33313</v>
      </c>
      <c r="E11" s="5" t="s">
        <v>18</v>
      </c>
      <c r="F11" s="5">
        <v>6</v>
      </c>
      <c r="G11" s="5">
        <v>0</v>
      </c>
      <c r="H11" s="5">
        <v>0</v>
      </c>
      <c r="I11" s="5">
        <v>1.45</v>
      </c>
      <c r="J11" s="5">
        <v>0.48</v>
      </c>
      <c r="K11" s="5">
        <v>2.9</v>
      </c>
      <c r="L11" s="5">
        <v>7.97</v>
      </c>
    </row>
    <row r="12" spans="1:12" x14ac:dyDescent="0.35">
      <c r="A12" s="5" t="s">
        <v>19</v>
      </c>
      <c r="B12" s="5" t="s">
        <v>15</v>
      </c>
      <c r="C12" s="5">
        <v>3</v>
      </c>
      <c r="D12" s="6">
        <v>33364</v>
      </c>
      <c r="E12" s="5" t="s">
        <v>20</v>
      </c>
      <c r="F12" s="5">
        <v>6</v>
      </c>
      <c r="G12" s="5">
        <v>0</v>
      </c>
      <c r="H12" s="5">
        <v>0</v>
      </c>
      <c r="I12" s="5">
        <v>0.48</v>
      </c>
      <c r="J12" s="5">
        <v>2.17</v>
      </c>
      <c r="K12" s="5">
        <v>1.69</v>
      </c>
      <c r="L12" s="5">
        <v>5.07</v>
      </c>
    </row>
    <row r="13" spans="1:12" x14ac:dyDescent="0.35">
      <c r="A13" s="5" t="s">
        <v>39</v>
      </c>
      <c r="B13" s="5" t="s">
        <v>33</v>
      </c>
      <c r="C13" s="5">
        <v>20</v>
      </c>
      <c r="D13" s="6">
        <v>35999</v>
      </c>
      <c r="E13" s="5" t="s">
        <v>40</v>
      </c>
      <c r="F13" s="5">
        <v>6</v>
      </c>
      <c r="G13" s="5">
        <v>1</v>
      </c>
      <c r="H13" s="5">
        <v>1</v>
      </c>
      <c r="I13" s="5">
        <v>0.97</v>
      </c>
      <c r="J13" s="5">
        <v>0.49</v>
      </c>
      <c r="K13" s="5">
        <v>1.46</v>
      </c>
      <c r="L13" s="5">
        <v>5.85</v>
      </c>
    </row>
    <row r="14" spans="1:12" x14ac:dyDescent="0.35">
      <c r="A14" s="5" t="s">
        <v>47</v>
      </c>
      <c r="B14" s="5" t="s">
        <v>45</v>
      </c>
      <c r="C14" s="5">
        <v>22</v>
      </c>
      <c r="D14" s="6">
        <v>35897</v>
      </c>
      <c r="E14" s="5" t="s">
        <v>48</v>
      </c>
      <c r="F14" s="5">
        <v>6</v>
      </c>
      <c r="G14" s="5">
        <v>0</v>
      </c>
      <c r="H14" s="5">
        <v>0</v>
      </c>
      <c r="I14" s="5">
        <v>1.89</v>
      </c>
      <c r="J14" s="5">
        <v>0.38</v>
      </c>
      <c r="K14" s="5">
        <v>0</v>
      </c>
      <c r="L14" s="5">
        <v>6.81</v>
      </c>
    </row>
    <row r="15" spans="1:12" x14ac:dyDescent="0.35">
      <c r="A15" s="5" t="s">
        <v>30</v>
      </c>
      <c r="B15" s="5" t="s">
        <v>15</v>
      </c>
      <c r="C15" s="5">
        <v>25</v>
      </c>
      <c r="D15" s="6">
        <v>35712</v>
      </c>
      <c r="E15" s="5" t="s">
        <v>31</v>
      </c>
      <c r="F15" s="5">
        <v>5</v>
      </c>
      <c r="G15" s="5">
        <v>0</v>
      </c>
      <c r="H15" s="5">
        <v>0</v>
      </c>
      <c r="I15" s="5">
        <v>0.3</v>
      </c>
      <c r="J15" s="5">
        <v>0.9</v>
      </c>
      <c r="K15" s="5">
        <v>1.5</v>
      </c>
      <c r="L15" s="5">
        <v>4.1900000000000004</v>
      </c>
    </row>
    <row r="16" spans="1:12" x14ac:dyDescent="0.35">
      <c r="A16" s="5" t="s">
        <v>32</v>
      </c>
      <c r="B16" s="5" t="s">
        <v>33</v>
      </c>
      <c r="C16" s="5">
        <v>5</v>
      </c>
      <c r="D16" s="6">
        <v>33872</v>
      </c>
      <c r="E16" s="5" t="s">
        <v>34</v>
      </c>
      <c r="F16" s="5">
        <v>5</v>
      </c>
      <c r="G16" s="5">
        <v>0</v>
      </c>
      <c r="H16" s="5">
        <v>0</v>
      </c>
      <c r="I16" s="5">
        <v>0.4</v>
      </c>
      <c r="J16" s="5">
        <v>1.21</v>
      </c>
      <c r="K16" s="5">
        <v>4.0199999999999996</v>
      </c>
      <c r="L16" s="5">
        <v>9.24</v>
      </c>
    </row>
    <row r="17" spans="1:12" x14ac:dyDescent="0.35">
      <c r="A17" s="5" t="s">
        <v>54</v>
      </c>
      <c r="B17" s="5" t="s">
        <v>45</v>
      </c>
      <c r="C17" s="5">
        <v>11</v>
      </c>
      <c r="D17" s="6">
        <v>32705</v>
      </c>
      <c r="E17" s="5" t="s">
        <v>34</v>
      </c>
      <c r="F17" s="5">
        <v>5</v>
      </c>
      <c r="G17" s="5">
        <v>1</v>
      </c>
      <c r="H17" s="5">
        <v>1</v>
      </c>
      <c r="I17" s="5">
        <v>6.83</v>
      </c>
      <c r="J17" s="5">
        <v>0.31</v>
      </c>
      <c r="K17" s="5">
        <v>0.93</v>
      </c>
      <c r="L17" s="5">
        <v>7.14</v>
      </c>
    </row>
    <row r="18" spans="1:12" x14ac:dyDescent="0.35">
      <c r="A18" s="5" t="s">
        <v>25</v>
      </c>
      <c r="B18" s="5" t="s">
        <v>15</v>
      </c>
      <c r="C18" s="5">
        <v>4</v>
      </c>
      <c r="D18" s="6">
        <v>35622</v>
      </c>
      <c r="E18" s="5" t="s">
        <v>18</v>
      </c>
      <c r="F18" s="5">
        <v>4</v>
      </c>
      <c r="G18" s="5">
        <v>0</v>
      </c>
      <c r="H18" s="5">
        <v>0</v>
      </c>
      <c r="I18" s="5">
        <v>0.77</v>
      </c>
      <c r="J18" s="5">
        <v>0.77</v>
      </c>
      <c r="K18" s="5">
        <v>2.31</v>
      </c>
      <c r="L18" s="5">
        <v>5.39</v>
      </c>
    </row>
    <row r="19" spans="1:12" x14ac:dyDescent="0.35">
      <c r="A19" s="5" t="s">
        <v>21</v>
      </c>
      <c r="B19" s="5" t="s">
        <v>15</v>
      </c>
      <c r="C19" s="5">
        <v>6</v>
      </c>
      <c r="D19" s="6">
        <v>33294</v>
      </c>
      <c r="E19" s="5" t="s">
        <v>22</v>
      </c>
      <c r="F19" s="5">
        <v>3</v>
      </c>
      <c r="G19" s="5">
        <v>0</v>
      </c>
      <c r="H19" s="5">
        <v>0</v>
      </c>
      <c r="I19" s="5">
        <v>0</v>
      </c>
      <c r="J19" s="5">
        <v>0</v>
      </c>
      <c r="K19" s="5">
        <v>0</v>
      </c>
      <c r="L19" s="5">
        <v>3.16</v>
      </c>
    </row>
    <row r="20" spans="1:12" x14ac:dyDescent="0.35">
      <c r="A20" s="5" t="s">
        <v>37</v>
      </c>
      <c r="B20" s="5" t="s">
        <v>33</v>
      </c>
      <c r="C20" s="5">
        <v>14</v>
      </c>
      <c r="D20" s="6">
        <v>35977</v>
      </c>
      <c r="E20" s="5" t="s">
        <v>38</v>
      </c>
      <c r="F20" s="5">
        <v>3</v>
      </c>
      <c r="G20" s="5">
        <v>0</v>
      </c>
      <c r="H20" s="5">
        <v>0</v>
      </c>
      <c r="I20" s="5">
        <v>0</v>
      </c>
      <c r="J20" s="5">
        <v>3.83</v>
      </c>
      <c r="K20" s="5">
        <v>1.91</v>
      </c>
      <c r="L20" s="5">
        <v>7.66</v>
      </c>
    </row>
    <row r="21" spans="1:12" x14ac:dyDescent="0.35">
      <c r="A21" s="5" t="s">
        <v>42</v>
      </c>
      <c r="B21" s="5" t="s">
        <v>33</v>
      </c>
      <c r="C21" s="5">
        <v>17</v>
      </c>
      <c r="D21" s="6">
        <v>36976</v>
      </c>
      <c r="E21" s="5" t="s">
        <v>43</v>
      </c>
      <c r="F21" s="5">
        <v>2</v>
      </c>
      <c r="G21" s="5">
        <v>0</v>
      </c>
      <c r="H21" s="5">
        <v>0</v>
      </c>
      <c r="I21" s="5">
        <v>0.83</v>
      </c>
      <c r="J21" s="5">
        <v>0.83</v>
      </c>
      <c r="K21" s="5">
        <v>1.65</v>
      </c>
      <c r="L21" s="5">
        <v>8.26</v>
      </c>
    </row>
    <row r="22" spans="1:12" x14ac:dyDescent="0.35">
      <c r="A22" s="5" t="s">
        <v>49</v>
      </c>
      <c r="B22" s="5" t="s">
        <v>45</v>
      </c>
      <c r="C22" s="5">
        <v>21</v>
      </c>
      <c r="D22" s="6">
        <v>33337</v>
      </c>
      <c r="E22" s="5" t="s">
        <v>50</v>
      </c>
      <c r="F22" s="5">
        <v>2</v>
      </c>
      <c r="G22" s="5">
        <v>0</v>
      </c>
      <c r="H22" s="5">
        <v>0</v>
      </c>
      <c r="I22" s="5">
        <v>5.62</v>
      </c>
      <c r="J22" s="5">
        <v>0</v>
      </c>
      <c r="K22" s="5">
        <v>0</v>
      </c>
      <c r="L22" s="5">
        <v>0</v>
      </c>
    </row>
    <row r="23" spans="1:12" x14ac:dyDescent="0.35">
      <c r="A23" s="5" t="s">
        <v>26</v>
      </c>
      <c r="B23" s="5" t="s">
        <v>15</v>
      </c>
      <c r="C23" s="5">
        <v>2</v>
      </c>
      <c r="D23" s="6">
        <v>35703</v>
      </c>
      <c r="E23" s="5" t="s">
        <v>27</v>
      </c>
      <c r="F23" s="5">
        <v>1</v>
      </c>
      <c r="G23" s="5">
        <v>0</v>
      </c>
      <c r="H23" s="5">
        <v>0</v>
      </c>
      <c r="I23" s="5">
        <v>0</v>
      </c>
      <c r="J23" s="5">
        <v>0</v>
      </c>
      <c r="K23" s="5">
        <v>0</v>
      </c>
      <c r="L23" s="5">
        <v>0</v>
      </c>
    </row>
    <row r="24" spans="1:12" x14ac:dyDescent="0.35">
      <c r="A24" s="5" t="s">
        <v>36</v>
      </c>
      <c r="B24" s="5" t="s">
        <v>33</v>
      </c>
      <c r="C24" s="5">
        <v>18</v>
      </c>
      <c r="D24" s="6">
        <v>33742</v>
      </c>
      <c r="E24" s="5" t="s">
        <v>22</v>
      </c>
      <c r="F24" s="5">
        <v>1</v>
      </c>
      <c r="G24" s="5">
        <v>0</v>
      </c>
      <c r="H24" s="5">
        <v>0</v>
      </c>
      <c r="I24" s="5">
        <v>0</v>
      </c>
      <c r="J24" s="5">
        <v>0</v>
      </c>
      <c r="K24" s="5">
        <v>3.16</v>
      </c>
      <c r="L24" s="5">
        <v>6.32</v>
      </c>
    </row>
    <row r="25" spans="1:12" x14ac:dyDescent="0.35">
      <c r="A25" s="5" t="s">
        <v>51</v>
      </c>
      <c r="B25" s="5" t="s">
        <v>45</v>
      </c>
      <c r="C25" s="5">
        <v>16</v>
      </c>
      <c r="D25" s="6">
        <v>36976</v>
      </c>
      <c r="E25" s="5" t="s">
        <v>48</v>
      </c>
      <c r="F25" s="5">
        <v>1</v>
      </c>
      <c r="G25" s="5">
        <v>0</v>
      </c>
      <c r="H25" s="5">
        <v>0</v>
      </c>
      <c r="I25" s="5">
        <v>0</v>
      </c>
      <c r="J25" s="5">
        <v>0</v>
      </c>
      <c r="K25" s="5">
        <v>0</v>
      </c>
      <c r="L25" s="5">
        <v>0</v>
      </c>
    </row>
    <row r="26" spans="1:12" x14ac:dyDescent="0.35">
      <c r="A26" s="5" t="s">
        <v>55</v>
      </c>
      <c r="B26" s="5" t="s">
        <v>45</v>
      </c>
      <c r="C26" s="5">
        <v>15</v>
      </c>
      <c r="D26" s="6">
        <v>34908</v>
      </c>
      <c r="E26" s="5" t="s">
        <v>24</v>
      </c>
      <c r="F26" s="5">
        <v>1</v>
      </c>
      <c r="G26" s="5">
        <v>0</v>
      </c>
      <c r="H26" s="5">
        <v>0</v>
      </c>
      <c r="I26" s="5">
        <v>0</v>
      </c>
      <c r="J26" s="5">
        <v>0</v>
      </c>
      <c r="K26" s="5">
        <v>0</v>
      </c>
      <c r="L26" s="5">
        <v>0</v>
      </c>
    </row>
    <row r="27" spans="1:12" x14ac:dyDescent="0.35">
      <c r="A27" s="5" t="s">
        <v>59</v>
      </c>
      <c r="B27" s="5" t="s">
        <v>57</v>
      </c>
      <c r="C27" s="5">
        <v>1</v>
      </c>
      <c r="D27" s="6">
        <v>31926</v>
      </c>
      <c r="E27" s="5" t="s">
        <v>60</v>
      </c>
      <c r="F27" s="5">
        <v>0</v>
      </c>
      <c r="G27" s="5">
        <v>0</v>
      </c>
      <c r="H27" s="5">
        <v>0</v>
      </c>
      <c r="I27" s="5">
        <v>0</v>
      </c>
      <c r="J27" s="5">
        <v>0</v>
      </c>
      <c r="K27" s="5">
        <v>0</v>
      </c>
      <c r="L27" s="5">
        <v>0</v>
      </c>
    </row>
    <row r="28" spans="1:12" x14ac:dyDescent="0.35">
      <c r="A28" s="5" t="s">
        <v>61</v>
      </c>
      <c r="B28" s="5" t="s">
        <v>57</v>
      </c>
      <c r="C28" s="5">
        <v>12</v>
      </c>
      <c r="D28" s="6">
        <v>33434</v>
      </c>
      <c r="E28" s="5" t="s">
        <v>27</v>
      </c>
      <c r="F28" s="5">
        <v>0</v>
      </c>
      <c r="G28" s="5">
        <v>0</v>
      </c>
      <c r="H28" s="5">
        <v>0</v>
      </c>
      <c r="I28" s="5">
        <v>0</v>
      </c>
      <c r="J28" s="5">
        <v>0</v>
      </c>
      <c r="K28" s="5">
        <v>0</v>
      </c>
      <c r="L28" s="5">
        <v>0</v>
      </c>
    </row>
  </sheetData>
  <autoFilter ref="A2:L28" xr:uid="{4B0D71CB-68F6-4268-B778-3CA273212B6C}">
    <sortState xmlns:xlrd2="http://schemas.microsoft.com/office/spreadsheetml/2017/richdata2" ref="A3:L28">
      <sortCondition descending="1" ref="F2:F28"/>
    </sortState>
  </autoFilter>
  <mergeCells count="1">
    <mergeCell ref="A1:C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B6768-4C6C-42BD-A346-A26ACA48EFD7}">
  <dimension ref="A1:L27"/>
  <sheetViews>
    <sheetView zoomScale="80" zoomScaleNormal="80" workbookViewId="0">
      <selection activeCell="N16" sqref="N16"/>
    </sheetView>
  </sheetViews>
  <sheetFormatPr defaultRowHeight="14.5" x14ac:dyDescent="0.35"/>
  <cols>
    <col min="1" max="1" width="16" bestFit="1" customWidth="1"/>
    <col min="2" max="2" width="8.26953125" bestFit="1" customWidth="1"/>
    <col min="3" max="3" width="14.54296875" bestFit="1" customWidth="1"/>
    <col min="4" max="4" width="11" bestFit="1" customWidth="1"/>
    <col min="6" max="6" width="13.26953125" bestFit="1" customWidth="1"/>
    <col min="7" max="7" width="12.54296875" bestFit="1" customWidth="1"/>
    <col min="8" max="8" width="15.81640625" bestFit="1" customWidth="1"/>
    <col min="9" max="9" width="18.90625" bestFit="1" customWidth="1"/>
    <col min="10" max="10" width="23.453125" bestFit="1" customWidth="1"/>
    <col min="11" max="11" width="18" bestFit="1" customWidth="1"/>
    <col min="12" max="12" width="26.453125" bestFit="1" customWidth="1"/>
  </cols>
  <sheetData>
    <row r="1" spans="1:12" ht="17" customHeight="1" x14ac:dyDescent="0.35">
      <c r="A1" s="3" t="s">
        <v>2</v>
      </c>
      <c r="B1" s="3" t="s">
        <v>3</v>
      </c>
      <c r="C1" s="4" t="s">
        <v>4</v>
      </c>
      <c r="D1" s="3" t="s">
        <v>5</v>
      </c>
      <c r="E1" s="3" t="s">
        <v>6</v>
      </c>
      <c r="F1" s="4" t="s">
        <v>7</v>
      </c>
      <c r="G1" s="4" t="s">
        <v>8</v>
      </c>
      <c r="H1" s="4" t="s">
        <v>9</v>
      </c>
      <c r="I1" s="4" t="s">
        <v>10</v>
      </c>
      <c r="J1" s="4" t="s">
        <v>11</v>
      </c>
      <c r="K1" s="4" t="s">
        <v>12</v>
      </c>
      <c r="L1" s="4" t="s">
        <v>13</v>
      </c>
    </row>
    <row r="2" spans="1:12" x14ac:dyDescent="0.35">
      <c r="A2" s="5" t="s">
        <v>14</v>
      </c>
      <c r="B2" s="5" t="s">
        <v>15</v>
      </c>
      <c r="C2" s="5">
        <v>19</v>
      </c>
      <c r="D2" s="6">
        <v>32702</v>
      </c>
      <c r="E2" s="5" t="s">
        <v>16</v>
      </c>
      <c r="F2" s="5">
        <v>7</v>
      </c>
      <c r="G2" s="5">
        <v>0</v>
      </c>
      <c r="H2" s="5">
        <v>1</v>
      </c>
      <c r="I2" s="5">
        <v>0.33</v>
      </c>
      <c r="J2" s="5">
        <v>1.17</v>
      </c>
      <c r="K2" s="5">
        <v>1.3</v>
      </c>
      <c r="L2" s="5">
        <v>7.17</v>
      </c>
    </row>
    <row r="3" spans="1:12" x14ac:dyDescent="0.35">
      <c r="A3" s="5" t="s">
        <v>17</v>
      </c>
      <c r="B3" s="5" t="s">
        <v>15</v>
      </c>
      <c r="C3" s="5">
        <v>8</v>
      </c>
      <c r="D3" s="6">
        <v>33313</v>
      </c>
      <c r="E3" s="5" t="s">
        <v>18</v>
      </c>
      <c r="F3" s="5">
        <v>6</v>
      </c>
      <c r="G3" s="5">
        <v>0</v>
      </c>
      <c r="H3" s="5">
        <v>0</v>
      </c>
      <c r="I3" s="5">
        <v>1.45</v>
      </c>
      <c r="J3" s="5">
        <v>0.48</v>
      </c>
      <c r="K3" s="5">
        <v>2.9</v>
      </c>
      <c r="L3" s="5">
        <v>7.97</v>
      </c>
    </row>
    <row r="4" spans="1:12" x14ac:dyDescent="0.35">
      <c r="A4" s="5" t="s">
        <v>19</v>
      </c>
      <c r="B4" s="5" t="s">
        <v>15</v>
      </c>
      <c r="C4" s="5">
        <v>3</v>
      </c>
      <c r="D4" s="6">
        <v>33364</v>
      </c>
      <c r="E4" s="5" t="s">
        <v>20</v>
      </c>
      <c r="F4" s="5">
        <v>6</v>
      </c>
      <c r="G4" s="5">
        <v>0</v>
      </c>
      <c r="H4" s="5">
        <v>0</v>
      </c>
      <c r="I4" s="5">
        <v>0.48</v>
      </c>
      <c r="J4" s="5">
        <v>2.17</v>
      </c>
      <c r="K4" s="5">
        <v>1.69</v>
      </c>
      <c r="L4" s="5">
        <v>5.07</v>
      </c>
    </row>
    <row r="5" spans="1:12" x14ac:dyDescent="0.35">
      <c r="A5" s="5" t="s">
        <v>21</v>
      </c>
      <c r="B5" s="5" t="s">
        <v>15</v>
      </c>
      <c r="C5" s="5">
        <v>6</v>
      </c>
      <c r="D5" s="6">
        <v>33294</v>
      </c>
      <c r="E5" s="5" t="s">
        <v>22</v>
      </c>
      <c r="F5" s="5">
        <v>3</v>
      </c>
      <c r="G5" s="5">
        <v>0</v>
      </c>
      <c r="H5" s="5">
        <v>0</v>
      </c>
      <c r="I5" s="5">
        <v>0</v>
      </c>
      <c r="J5" s="5">
        <v>0</v>
      </c>
      <c r="K5" s="5">
        <v>0</v>
      </c>
      <c r="L5" s="5">
        <v>3.16</v>
      </c>
    </row>
    <row r="6" spans="1:12" x14ac:dyDescent="0.35">
      <c r="A6" s="5" t="s">
        <v>23</v>
      </c>
      <c r="B6" s="5" t="s">
        <v>15</v>
      </c>
      <c r="C6" s="5">
        <v>26</v>
      </c>
      <c r="D6" s="6">
        <v>35837</v>
      </c>
      <c r="E6" s="5" t="s">
        <v>24</v>
      </c>
      <c r="F6" s="5">
        <v>7</v>
      </c>
      <c r="G6" s="5">
        <v>1</v>
      </c>
      <c r="H6" s="5">
        <v>1</v>
      </c>
      <c r="I6" s="5">
        <v>0.32</v>
      </c>
      <c r="J6" s="5">
        <v>0.47</v>
      </c>
      <c r="K6" s="5">
        <v>1.42</v>
      </c>
      <c r="L6" s="5">
        <v>1.58</v>
      </c>
    </row>
    <row r="7" spans="1:12" x14ac:dyDescent="0.35">
      <c r="A7" s="5" t="s">
        <v>25</v>
      </c>
      <c r="B7" s="5" t="s">
        <v>15</v>
      </c>
      <c r="C7" s="5">
        <v>4</v>
      </c>
      <c r="D7" s="6">
        <v>35622</v>
      </c>
      <c r="E7" s="5" t="s">
        <v>18</v>
      </c>
      <c r="F7" s="5">
        <v>4</v>
      </c>
      <c r="G7" s="5">
        <v>0</v>
      </c>
      <c r="H7" s="5">
        <v>0</v>
      </c>
      <c r="I7" s="5">
        <v>0.77</v>
      </c>
      <c r="J7" s="5">
        <v>0.77</v>
      </c>
      <c r="K7" s="5">
        <v>2.31</v>
      </c>
      <c r="L7" s="5">
        <v>5.39</v>
      </c>
    </row>
    <row r="8" spans="1:12" x14ac:dyDescent="0.35">
      <c r="A8" s="5" t="s">
        <v>26</v>
      </c>
      <c r="B8" s="5" t="s">
        <v>15</v>
      </c>
      <c r="C8" s="5">
        <v>2</v>
      </c>
      <c r="D8" s="6">
        <v>35703</v>
      </c>
      <c r="E8" s="5" t="s">
        <v>27</v>
      </c>
      <c r="F8" s="5">
        <v>1</v>
      </c>
      <c r="G8" s="5">
        <v>0</v>
      </c>
      <c r="H8" s="5">
        <v>0</v>
      </c>
      <c r="I8" s="5">
        <v>0</v>
      </c>
      <c r="J8" s="5">
        <v>0</v>
      </c>
      <c r="K8" s="5">
        <v>0</v>
      </c>
      <c r="L8" s="5">
        <v>0</v>
      </c>
    </row>
    <row r="9" spans="1:12" x14ac:dyDescent="0.35">
      <c r="A9" s="5" t="s">
        <v>28</v>
      </c>
      <c r="B9" s="5" t="s">
        <v>15</v>
      </c>
      <c r="C9" s="5">
        <v>13</v>
      </c>
      <c r="D9" s="6">
        <v>35849</v>
      </c>
      <c r="E9" s="5" t="s">
        <v>29</v>
      </c>
      <c r="F9" s="5">
        <v>7</v>
      </c>
      <c r="G9" s="5">
        <v>0</v>
      </c>
      <c r="H9" s="5">
        <v>0</v>
      </c>
      <c r="I9" s="5">
        <v>0.16</v>
      </c>
      <c r="J9" s="5">
        <v>0.49</v>
      </c>
      <c r="K9" s="5">
        <v>0.82</v>
      </c>
      <c r="L9" s="5">
        <v>5.09</v>
      </c>
    </row>
    <row r="10" spans="1:12" x14ac:dyDescent="0.35">
      <c r="A10" s="5" t="s">
        <v>30</v>
      </c>
      <c r="B10" s="5" t="s">
        <v>15</v>
      </c>
      <c r="C10" s="5">
        <v>25</v>
      </c>
      <c r="D10" s="6">
        <v>35712</v>
      </c>
      <c r="E10" s="5" t="s">
        <v>31</v>
      </c>
      <c r="F10" s="5">
        <v>5</v>
      </c>
      <c r="G10" s="5">
        <v>0</v>
      </c>
      <c r="H10" s="5">
        <v>0</v>
      </c>
      <c r="I10" s="5">
        <v>0.3</v>
      </c>
      <c r="J10" s="5">
        <v>0.9</v>
      </c>
      <c r="K10" s="5">
        <v>1.5</v>
      </c>
      <c r="L10" s="5">
        <v>4.1900000000000004</v>
      </c>
    </row>
    <row r="11" spans="1:12" x14ac:dyDescent="0.35">
      <c r="A11" s="5" t="s">
        <v>32</v>
      </c>
      <c r="B11" s="5" t="s">
        <v>33</v>
      </c>
      <c r="C11" s="5">
        <v>5</v>
      </c>
      <c r="D11" s="6">
        <v>33872</v>
      </c>
      <c r="E11" s="5" t="s">
        <v>34</v>
      </c>
      <c r="F11" s="5">
        <v>5</v>
      </c>
      <c r="G11" s="5">
        <v>0</v>
      </c>
      <c r="H11" s="5">
        <v>0</v>
      </c>
      <c r="I11" s="5">
        <v>0.4</v>
      </c>
      <c r="J11" s="5">
        <v>1.21</v>
      </c>
      <c r="K11" s="5">
        <v>4.0199999999999996</v>
      </c>
      <c r="L11" s="5">
        <v>9.24</v>
      </c>
    </row>
    <row r="12" spans="1:12" x14ac:dyDescent="0.35">
      <c r="A12" s="5" t="s">
        <v>35</v>
      </c>
      <c r="B12" s="5" t="s">
        <v>33</v>
      </c>
      <c r="C12" s="5">
        <v>7</v>
      </c>
      <c r="D12" s="6">
        <v>33772</v>
      </c>
      <c r="E12" s="5" t="s">
        <v>24</v>
      </c>
      <c r="F12" s="5">
        <v>7</v>
      </c>
      <c r="G12" s="5">
        <v>0</v>
      </c>
      <c r="H12" s="5">
        <v>0</v>
      </c>
      <c r="I12" s="5">
        <v>0.6</v>
      </c>
      <c r="J12" s="5">
        <v>1.05</v>
      </c>
      <c r="K12" s="5">
        <v>1.79</v>
      </c>
      <c r="L12" s="5">
        <v>4.6399999999999997</v>
      </c>
    </row>
    <row r="13" spans="1:12" x14ac:dyDescent="0.35">
      <c r="A13" s="5" t="s">
        <v>36</v>
      </c>
      <c r="B13" s="5" t="s">
        <v>33</v>
      </c>
      <c r="C13" s="5">
        <v>18</v>
      </c>
      <c r="D13" s="6">
        <v>33742</v>
      </c>
      <c r="E13" s="5" t="s">
        <v>22</v>
      </c>
      <c r="F13" s="5">
        <v>1</v>
      </c>
      <c r="G13" s="5">
        <v>0</v>
      </c>
      <c r="H13" s="5">
        <v>0</v>
      </c>
      <c r="I13" s="5">
        <v>0</v>
      </c>
      <c r="J13" s="5">
        <v>0</v>
      </c>
      <c r="K13" s="5">
        <v>3.16</v>
      </c>
      <c r="L13" s="5">
        <v>6.32</v>
      </c>
    </row>
    <row r="14" spans="1:12" x14ac:dyDescent="0.35">
      <c r="A14" s="5" t="s">
        <v>37</v>
      </c>
      <c r="B14" s="5" t="s">
        <v>33</v>
      </c>
      <c r="C14" s="5">
        <v>14</v>
      </c>
      <c r="D14" s="6">
        <v>35977</v>
      </c>
      <c r="E14" s="5" t="s">
        <v>38</v>
      </c>
      <c r="F14" s="5">
        <v>3</v>
      </c>
      <c r="G14" s="5">
        <v>0</v>
      </c>
      <c r="H14" s="5">
        <v>0</v>
      </c>
      <c r="I14" s="5">
        <v>0</v>
      </c>
      <c r="J14" s="5">
        <v>3.83</v>
      </c>
      <c r="K14" s="5">
        <v>1.91</v>
      </c>
      <c r="L14" s="5">
        <v>7.66</v>
      </c>
    </row>
    <row r="15" spans="1:12" x14ac:dyDescent="0.35">
      <c r="A15" s="5" t="s">
        <v>39</v>
      </c>
      <c r="B15" s="5" t="s">
        <v>33</v>
      </c>
      <c r="C15" s="5">
        <v>20</v>
      </c>
      <c r="D15" s="6">
        <v>35999</v>
      </c>
      <c r="E15" s="5" t="s">
        <v>40</v>
      </c>
      <c r="F15" s="5">
        <v>6</v>
      </c>
      <c r="G15" s="5">
        <v>1</v>
      </c>
      <c r="H15" s="5">
        <v>1</v>
      </c>
      <c r="I15" s="5">
        <v>0.97</v>
      </c>
      <c r="J15" s="5">
        <v>0.49</v>
      </c>
      <c r="K15" s="5">
        <v>1.46</v>
      </c>
      <c r="L15" s="5">
        <v>5.85</v>
      </c>
    </row>
    <row r="16" spans="1:12" x14ac:dyDescent="0.35">
      <c r="A16" s="5" t="s">
        <v>41</v>
      </c>
      <c r="B16" s="5" t="s">
        <v>33</v>
      </c>
      <c r="C16" s="5">
        <v>24</v>
      </c>
      <c r="D16" s="6">
        <v>36957</v>
      </c>
      <c r="E16" s="5" t="s">
        <v>16</v>
      </c>
      <c r="F16" s="5">
        <v>7</v>
      </c>
      <c r="G16" s="5">
        <v>1</v>
      </c>
      <c r="H16" s="5">
        <v>1</v>
      </c>
      <c r="I16" s="5">
        <v>0.8</v>
      </c>
      <c r="J16" s="5">
        <v>0.48</v>
      </c>
      <c r="K16" s="5">
        <v>3.52</v>
      </c>
      <c r="L16" s="5">
        <v>7.83</v>
      </c>
    </row>
    <row r="17" spans="1:12" x14ac:dyDescent="0.35">
      <c r="A17" s="5" t="s">
        <v>42</v>
      </c>
      <c r="B17" s="5" t="s">
        <v>33</v>
      </c>
      <c r="C17" s="5">
        <v>17</v>
      </c>
      <c r="D17" s="6">
        <v>36976</v>
      </c>
      <c r="E17" s="5" t="s">
        <v>43</v>
      </c>
      <c r="F17" s="5">
        <v>2</v>
      </c>
      <c r="G17" s="5">
        <v>0</v>
      </c>
      <c r="H17" s="5">
        <v>0</v>
      </c>
      <c r="I17" s="5">
        <v>0.83</v>
      </c>
      <c r="J17" s="5">
        <v>0.83</v>
      </c>
      <c r="K17" s="5">
        <v>1.65</v>
      </c>
      <c r="L17" s="5">
        <v>8.26</v>
      </c>
    </row>
    <row r="18" spans="1:12" x14ac:dyDescent="0.35">
      <c r="A18" s="5" t="s">
        <v>44</v>
      </c>
      <c r="B18" s="5" t="s">
        <v>45</v>
      </c>
      <c r="C18" s="5">
        <v>10</v>
      </c>
      <c r="D18" s="6">
        <v>31790</v>
      </c>
      <c r="E18" s="5" t="s">
        <v>46</v>
      </c>
      <c r="F18" s="5">
        <v>7</v>
      </c>
      <c r="G18" s="5">
        <v>7</v>
      </c>
      <c r="H18" s="5">
        <v>3</v>
      </c>
      <c r="I18" s="5">
        <v>3.78</v>
      </c>
      <c r="J18" s="5">
        <v>0</v>
      </c>
      <c r="K18" s="5">
        <v>0.65</v>
      </c>
      <c r="L18" s="5">
        <v>6.39</v>
      </c>
    </row>
    <row r="19" spans="1:12" x14ac:dyDescent="0.35">
      <c r="A19" s="5" t="s">
        <v>47</v>
      </c>
      <c r="B19" s="5" t="s">
        <v>45</v>
      </c>
      <c r="C19" s="5">
        <v>22</v>
      </c>
      <c r="D19" s="6">
        <v>35897</v>
      </c>
      <c r="E19" s="5" t="s">
        <v>48</v>
      </c>
      <c r="F19" s="5">
        <v>6</v>
      </c>
      <c r="G19" s="5">
        <v>0</v>
      </c>
      <c r="H19" s="5">
        <v>0</v>
      </c>
      <c r="I19" s="5">
        <v>1.89</v>
      </c>
      <c r="J19" s="5">
        <v>0.38</v>
      </c>
      <c r="K19" s="5">
        <v>0</v>
      </c>
      <c r="L19" s="5">
        <v>6.81</v>
      </c>
    </row>
    <row r="20" spans="1:12" x14ac:dyDescent="0.35">
      <c r="A20" s="5" t="s">
        <v>49</v>
      </c>
      <c r="B20" s="5" t="s">
        <v>45</v>
      </c>
      <c r="C20" s="5">
        <v>21</v>
      </c>
      <c r="D20" s="6">
        <v>33337</v>
      </c>
      <c r="E20" s="5" t="s">
        <v>50</v>
      </c>
      <c r="F20" s="5">
        <v>2</v>
      </c>
      <c r="G20" s="5">
        <v>0</v>
      </c>
      <c r="H20" s="5">
        <v>0</v>
      </c>
      <c r="I20" s="5">
        <v>5.62</v>
      </c>
      <c r="J20" s="5">
        <v>0</v>
      </c>
      <c r="K20" s="5">
        <v>0</v>
      </c>
      <c r="L20" s="5">
        <v>0</v>
      </c>
    </row>
    <row r="21" spans="1:12" x14ac:dyDescent="0.35">
      <c r="A21" s="5" t="s">
        <v>51</v>
      </c>
      <c r="B21" s="5" t="s">
        <v>45</v>
      </c>
      <c r="C21" s="5">
        <v>16</v>
      </c>
      <c r="D21" s="6">
        <v>36976</v>
      </c>
      <c r="E21" s="5" t="s">
        <v>48</v>
      </c>
      <c r="F21" s="5">
        <v>1</v>
      </c>
      <c r="G21" s="5">
        <v>0</v>
      </c>
      <c r="H21" s="5">
        <v>0</v>
      </c>
      <c r="I21" s="5">
        <v>0</v>
      </c>
      <c r="J21" s="5">
        <v>0</v>
      </c>
      <c r="K21" s="5">
        <v>0</v>
      </c>
      <c r="L21" s="5">
        <v>0</v>
      </c>
    </row>
    <row r="22" spans="1:12" x14ac:dyDescent="0.35">
      <c r="A22" s="5" t="s">
        <v>52</v>
      </c>
      <c r="B22" s="5" t="s">
        <v>45</v>
      </c>
      <c r="C22" s="5">
        <v>9</v>
      </c>
      <c r="D22" s="6">
        <v>36566</v>
      </c>
      <c r="E22" s="5" t="s">
        <v>53</v>
      </c>
      <c r="F22" s="5">
        <v>7</v>
      </c>
      <c r="G22" s="5">
        <v>4</v>
      </c>
      <c r="H22" s="5">
        <v>0</v>
      </c>
      <c r="I22" s="5">
        <v>0.57999999999999996</v>
      </c>
      <c r="J22" s="5">
        <v>0</v>
      </c>
      <c r="K22" s="5">
        <v>0.77</v>
      </c>
      <c r="L22" s="5">
        <v>1.93</v>
      </c>
    </row>
    <row r="23" spans="1:12" x14ac:dyDescent="0.35">
      <c r="A23" s="5" t="s">
        <v>54</v>
      </c>
      <c r="B23" s="5" t="s">
        <v>45</v>
      </c>
      <c r="C23" s="5">
        <v>11</v>
      </c>
      <c r="D23" s="6">
        <v>32705</v>
      </c>
      <c r="E23" s="5" t="s">
        <v>34</v>
      </c>
      <c r="F23" s="5">
        <v>5</v>
      </c>
      <c r="G23" s="5">
        <v>1</v>
      </c>
      <c r="H23" s="5">
        <v>1</v>
      </c>
      <c r="I23" s="5">
        <v>6.83</v>
      </c>
      <c r="J23" s="5">
        <v>0.31</v>
      </c>
      <c r="K23" s="5">
        <v>0.93</v>
      </c>
      <c r="L23" s="5">
        <v>7.14</v>
      </c>
    </row>
    <row r="24" spans="1:12" x14ac:dyDescent="0.35">
      <c r="A24" s="5" t="s">
        <v>55</v>
      </c>
      <c r="B24" s="5" t="s">
        <v>45</v>
      </c>
      <c r="C24" s="5">
        <v>15</v>
      </c>
      <c r="D24" s="6">
        <v>34908</v>
      </c>
      <c r="E24" s="5" t="s">
        <v>24</v>
      </c>
      <c r="F24" s="5">
        <v>1</v>
      </c>
      <c r="G24" s="5">
        <v>0</v>
      </c>
      <c r="H24" s="5">
        <v>0</v>
      </c>
      <c r="I24" s="5">
        <v>0</v>
      </c>
      <c r="J24" s="5">
        <v>0</v>
      </c>
      <c r="K24" s="5">
        <v>0</v>
      </c>
      <c r="L24" s="5">
        <v>0</v>
      </c>
    </row>
    <row r="25" spans="1:12" x14ac:dyDescent="0.35">
      <c r="A25" s="5" t="s">
        <v>56</v>
      </c>
      <c r="B25" s="5" t="s">
        <v>57</v>
      </c>
      <c r="C25" s="5">
        <v>23</v>
      </c>
      <c r="D25" s="6">
        <v>33365</v>
      </c>
      <c r="E25" s="5" t="s">
        <v>58</v>
      </c>
      <c r="F25" s="5">
        <v>7</v>
      </c>
      <c r="G25" s="5">
        <v>0</v>
      </c>
      <c r="H25" s="5">
        <v>0</v>
      </c>
      <c r="I25" s="5">
        <v>0</v>
      </c>
      <c r="J25" s="5">
        <v>0</v>
      </c>
      <c r="K25" s="5">
        <v>0</v>
      </c>
      <c r="L25" s="5">
        <v>0.65</v>
      </c>
    </row>
    <row r="26" spans="1:12" x14ac:dyDescent="0.35">
      <c r="A26" s="5" t="s">
        <v>59</v>
      </c>
      <c r="B26" s="5" t="s">
        <v>57</v>
      </c>
      <c r="C26" s="5">
        <v>1</v>
      </c>
      <c r="D26" s="6">
        <v>31926</v>
      </c>
      <c r="E26" s="5" t="s">
        <v>60</v>
      </c>
      <c r="F26" s="5">
        <v>0</v>
      </c>
      <c r="G26" s="5">
        <v>0</v>
      </c>
      <c r="H26" s="5">
        <v>0</v>
      </c>
      <c r="I26" s="5">
        <v>0</v>
      </c>
      <c r="J26" s="5">
        <v>0</v>
      </c>
      <c r="K26" s="5">
        <v>0</v>
      </c>
      <c r="L26" s="5">
        <v>0</v>
      </c>
    </row>
    <row r="27" spans="1:12" x14ac:dyDescent="0.35">
      <c r="A27" s="5" t="s">
        <v>61</v>
      </c>
      <c r="B27" s="5" t="s">
        <v>57</v>
      </c>
      <c r="C27" s="5">
        <v>12</v>
      </c>
      <c r="D27" s="6">
        <v>33434</v>
      </c>
      <c r="E27" s="5" t="s">
        <v>27</v>
      </c>
      <c r="F27" s="5">
        <v>0</v>
      </c>
      <c r="G27" s="5">
        <v>0</v>
      </c>
      <c r="H27" s="5">
        <v>0</v>
      </c>
      <c r="I27" s="5">
        <v>0</v>
      </c>
      <c r="J27" s="5">
        <v>0</v>
      </c>
      <c r="K27" s="5">
        <v>0</v>
      </c>
      <c r="L27" s="5">
        <v>0</v>
      </c>
    </row>
  </sheetData>
  <conditionalFormatting sqref="G1:G1048576">
    <cfRule type="colorScale" priority="4">
      <colorScale>
        <cfvo type="min"/>
        <cfvo type="percentile" val="50"/>
        <cfvo type="max"/>
        <color rgb="FFF8696B"/>
        <color rgb="FFFFEB84"/>
        <color rgb="FF63BE7B"/>
      </colorScale>
    </cfRule>
  </conditionalFormatting>
  <conditionalFormatting sqref="H1:H1048576">
    <cfRule type="colorScale" priority="3">
      <colorScale>
        <cfvo type="min"/>
        <cfvo type="percentile" val="50"/>
        <cfvo type="max"/>
        <color rgb="FFF8696B"/>
        <color rgb="FFFFEB84"/>
        <color rgb="FF63BE7B"/>
      </colorScale>
    </cfRule>
  </conditionalFormatting>
  <conditionalFormatting sqref="J1:J1048576">
    <cfRule type="iconSet" priority="2">
      <iconSet iconSet="3Arrows">
        <cfvo type="percent" val="0"/>
        <cfvo type="percent" val="33"/>
        <cfvo type="percent" val="67"/>
      </iconSe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iconSet" priority="1" id="{C392E7CB-52AA-4B5D-89DE-B3F1CA02CEDA}">
            <x14:iconSet iconSet="3Triangles">
              <x14:cfvo type="percent">
                <xm:f>0</xm:f>
              </x14:cfvo>
              <x14:cfvo type="percent">
                <xm:f>33</xm:f>
              </x14:cfvo>
              <x14:cfvo type="percent">
                <xm:f>67</xm:f>
              </x14:cfvo>
            </x14:iconSet>
          </x14:cfRule>
          <xm:sqref>I1:I1048576</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4A4BE2-0894-46BF-839D-3B1D962ECC9B}">
  <dimension ref="A1:A19"/>
  <sheetViews>
    <sheetView showGridLines="0" workbookViewId="0">
      <selection activeCell="Q21" sqref="Q21"/>
    </sheetView>
  </sheetViews>
  <sheetFormatPr defaultRowHeight="14.5" x14ac:dyDescent="0.35"/>
  <sheetData>
    <row r="1" spans="1:1" ht="18" x14ac:dyDescent="0.35">
      <c r="A1" s="21" t="s">
        <v>70</v>
      </c>
    </row>
    <row r="2" spans="1:1" ht="18" x14ac:dyDescent="0.35">
      <c r="A2" s="21" t="s">
        <v>71</v>
      </c>
    </row>
    <row r="3" spans="1:1" ht="18" x14ac:dyDescent="0.35">
      <c r="A3" s="21" t="s">
        <v>72</v>
      </c>
    </row>
    <row r="4" spans="1:1" ht="18" x14ac:dyDescent="0.35">
      <c r="A4" s="21"/>
    </row>
    <row r="5" spans="1:1" ht="18" x14ac:dyDescent="0.35">
      <c r="A5" s="21" t="s">
        <v>73</v>
      </c>
    </row>
    <row r="6" spans="1:1" ht="18" x14ac:dyDescent="0.35">
      <c r="A6" s="21" t="s">
        <v>74</v>
      </c>
    </row>
    <row r="7" spans="1:1" ht="18" x14ac:dyDescent="0.35">
      <c r="A7" s="21" t="s">
        <v>75</v>
      </c>
    </row>
    <row r="8" spans="1:1" ht="18" x14ac:dyDescent="0.35">
      <c r="A8" s="21"/>
    </row>
    <row r="9" spans="1:1" ht="18" x14ac:dyDescent="0.35">
      <c r="A9" s="21" t="s">
        <v>76</v>
      </c>
    </row>
    <row r="10" spans="1:1" ht="18" x14ac:dyDescent="0.35">
      <c r="A10" s="21" t="s">
        <v>77</v>
      </c>
    </row>
    <row r="11" spans="1:1" ht="18" x14ac:dyDescent="0.35">
      <c r="A11" s="21" t="s">
        <v>78</v>
      </c>
    </row>
    <row r="12" spans="1:1" ht="18" x14ac:dyDescent="0.35">
      <c r="A12" s="21"/>
    </row>
    <row r="13" spans="1:1" ht="18" x14ac:dyDescent="0.35">
      <c r="A13" s="21" t="s">
        <v>79</v>
      </c>
    </row>
    <row r="14" spans="1:1" ht="18" x14ac:dyDescent="0.35">
      <c r="A14" s="21" t="s">
        <v>80</v>
      </c>
    </row>
    <row r="15" spans="1:1" ht="18" x14ac:dyDescent="0.35">
      <c r="A15" s="21" t="s">
        <v>81</v>
      </c>
    </row>
    <row r="16" spans="1:1" ht="18" x14ac:dyDescent="0.35">
      <c r="A16" s="21"/>
    </row>
    <row r="17" spans="1:1" ht="18" x14ac:dyDescent="0.35">
      <c r="A17" s="21" t="s">
        <v>82</v>
      </c>
    </row>
    <row r="18" spans="1:1" ht="18" x14ac:dyDescent="0.35">
      <c r="A18" s="21" t="s">
        <v>83</v>
      </c>
    </row>
    <row r="19" spans="1:1" ht="18" x14ac:dyDescent="0.35">
      <c r="A19" s="21" t="s">
        <v>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Dataset</vt:lpstr>
      <vt:lpstr>Formulas</vt:lpstr>
      <vt:lpstr>Sort and Filters</vt:lpstr>
      <vt:lpstr>Conditional Formating</vt:lpstr>
      <vt:lpstr>QnA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Seemanto Saha</dc:creator>
  <cp:lastModifiedBy>tarunsam95@outlook.com</cp:lastModifiedBy>
  <cp:lastPrinted>2025-09-22T07:54:46Z</cp:lastPrinted>
  <dcterms:created xsi:type="dcterms:W3CDTF">2024-02-19T11:53:19Z</dcterms:created>
  <dcterms:modified xsi:type="dcterms:W3CDTF">2026-01-21T16:12:31Z</dcterms:modified>
</cp:coreProperties>
</file>